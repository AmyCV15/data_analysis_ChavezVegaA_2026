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8bc7375c24142f/UAQ/SaldañaWork/Artículo 2024/Chavez-VegaA.2026/Raw.data/"/>
    </mc:Choice>
  </mc:AlternateContent>
  <xr:revisionPtr revIDLastSave="102" documentId="8_{BDEFFA25-BE11-410C-AACC-68797F80D70C}" xr6:coauthVersionLast="47" xr6:coauthVersionMax="47" xr10:uidLastSave="{5FDF89AA-5B19-476B-924B-59CE642F8753}"/>
  <bookViews>
    <workbookView xWindow="-108" yWindow="-108" windowWidth="23256" windowHeight="14616" firstSheet="2" activeTab="3" xr2:uid="{6DF318F0-E8D5-41C3-9947-766EFE60425A}"/>
  </bookViews>
  <sheets>
    <sheet name="Cel_0.25M_washed" sheetId="1" r:id="rId1"/>
    <sheet name="Cel_0.25M_Nonwashed" sheetId="2" r:id="rId2"/>
    <sheet name="Cel_0.5M_washed" sheetId="3" r:id="rId3"/>
    <sheet name="Cel_0.5M_Nonwashed" sheetId="4" r:id="rId4"/>
    <sheet name="Cel_1M_washed" sheetId="5" r:id="rId5"/>
    <sheet name="Cel_1M_Nonwashed" sheetId="6" r:id="rId6"/>
    <sheet name="Cel_YPD_control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6" l="1"/>
  <c r="F10" i="6"/>
  <c r="F6" i="6"/>
  <c r="F2" i="6"/>
  <c r="D17" i="6"/>
  <c r="E17" i="6" s="1"/>
  <c r="F17" i="6" s="1"/>
  <c r="D16" i="6"/>
  <c r="E16" i="6" s="1"/>
  <c r="F16" i="6" s="1"/>
  <c r="D15" i="6"/>
  <c r="E15" i="6" s="1"/>
  <c r="F15" i="6" s="1"/>
  <c r="D14" i="6"/>
  <c r="E14" i="6" s="1"/>
  <c r="D13" i="6"/>
  <c r="E13" i="6" s="1"/>
  <c r="F13" i="6" s="1"/>
  <c r="D12" i="6"/>
  <c r="E12" i="6" s="1"/>
  <c r="F12" i="6" s="1"/>
  <c r="D11" i="6"/>
  <c r="E11" i="6" s="1"/>
  <c r="F11" i="6" s="1"/>
  <c r="D10" i="6"/>
  <c r="E10" i="6" s="1"/>
  <c r="D9" i="6"/>
  <c r="E9" i="6" s="1"/>
  <c r="F9" i="6" s="1"/>
  <c r="D8" i="6"/>
  <c r="E8" i="6" s="1"/>
  <c r="F8" i="6" s="1"/>
  <c r="D7" i="6"/>
  <c r="E7" i="6" s="1"/>
  <c r="F7" i="6" s="1"/>
  <c r="D6" i="6"/>
  <c r="E6" i="6" s="1"/>
  <c r="D5" i="6"/>
  <c r="E5" i="6" s="1"/>
  <c r="F5" i="6" s="1"/>
  <c r="D4" i="6"/>
  <c r="E4" i="6" s="1"/>
  <c r="F4" i="6" s="1"/>
  <c r="D3" i="6"/>
  <c r="E3" i="6" s="1"/>
  <c r="F3" i="6" s="1"/>
  <c r="D2" i="6"/>
  <c r="E2" i="6" s="1"/>
  <c r="F2" i="5" l="1"/>
  <c r="F2" i="4"/>
  <c r="F2" i="3"/>
  <c r="F2" i="7"/>
  <c r="D17" i="7"/>
  <c r="E17" i="7" s="1"/>
  <c r="F17" i="7" s="1"/>
  <c r="D16" i="7"/>
  <c r="E16" i="7" s="1"/>
  <c r="F16" i="7" s="1"/>
  <c r="E15" i="7"/>
  <c r="F15" i="7" s="1"/>
  <c r="D15" i="7"/>
  <c r="D14" i="7"/>
  <c r="E14" i="7" s="1"/>
  <c r="F14" i="7" s="1"/>
  <c r="E13" i="7"/>
  <c r="F13" i="7" s="1"/>
  <c r="D13" i="7"/>
  <c r="D12" i="7"/>
  <c r="E12" i="7" s="1"/>
  <c r="F12" i="7" s="1"/>
  <c r="D11" i="7"/>
  <c r="E11" i="7" s="1"/>
  <c r="F11" i="7" s="1"/>
  <c r="D10" i="7"/>
  <c r="E10" i="7" s="1"/>
  <c r="F10" i="7" s="1"/>
  <c r="D9" i="7"/>
  <c r="E9" i="7" s="1"/>
  <c r="F9" i="7" s="1"/>
  <c r="F8" i="7"/>
  <c r="E8" i="7"/>
  <c r="D8" i="7"/>
  <c r="D7" i="7"/>
  <c r="E7" i="7" s="1"/>
  <c r="F7" i="7" s="1"/>
  <c r="D6" i="7"/>
  <c r="E6" i="7" s="1"/>
  <c r="F6" i="7" s="1"/>
  <c r="D5" i="7"/>
  <c r="E5" i="7" s="1"/>
  <c r="F5" i="7" s="1"/>
  <c r="D4" i="7"/>
  <c r="E4" i="7" s="1"/>
  <c r="F4" i="7" s="1"/>
  <c r="D3" i="7"/>
  <c r="E3" i="7" s="1"/>
  <c r="F3" i="7" s="1"/>
  <c r="D2" i="7"/>
  <c r="E2" i="7" s="1"/>
  <c r="D17" i="5"/>
  <c r="E17" i="5" s="1"/>
  <c r="F17" i="5" s="1"/>
  <c r="D16" i="5"/>
  <c r="E16" i="5" s="1"/>
  <c r="F16" i="5" s="1"/>
  <c r="D15" i="5"/>
  <c r="E15" i="5" s="1"/>
  <c r="F15" i="5" s="1"/>
  <c r="D14" i="5"/>
  <c r="E14" i="5" s="1"/>
  <c r="F14" i="5" s="1"/>
  <c r="E13" i="5"/>
  <c r="F13" i="5" s="1"/>
  <c r="D13" i="5"/>
  <c r="D12" i="5"/>
  <c r="E12" i="5" s="1"/>
  <c r="F12" i="5" s="1"/>
  <c r="D11" i="5"/>
  <c r="E11" i="5" s="1"/>
  <c r="F11" i="5" s="1"/>
  <c r="D10" i="5"/>
  <c r="E10" i="5" s="1"/>
  <c r="F10" i="5" s="1"/>
  <c r="D9" i="5"/>
  <c r="E9" i="5" s="1"/>
  <c r="F9" i="5" s="1"/>
  <c r="D8" i="5"/>
  <c r="E8" i="5" s="1"/>
  <c r="F8" i="5" s="1"/>
  <c r="D7" i="5"/>
  <c r="E7" i="5" s="1"/>
  <c r="F7" i="5" s="1"/>
  <c r="D6" i="5"/>
  <c r="E6" i="5" s="1"/>
  <c r="F6" i="5" s="1"/>
  <c r="D5" i="5"/>
  <c r="E5" i="5" s="1"/>
  <c r="F5" i="5" s="1"/>
  <c r="D4" i="5"/>
  <c r="E4" i="5" s="1"/>
  <c r="F4" i="5" s="1"/>
  <c r="D3" i="5"/>
  <c r="E3" i="5" s="1"/>
  <c r="F3" i="5" s="1"/>
  <c r="D2" i="5"/>
  <c r="E2" i="5" s="1"/>
  <c r="D2" i="4"/>
  <c r="E2" i="4"/>
  <c r="D17" i="4"/>
  <c r="E17" i="4" s="1"/>
  <c r="F17" i="4" s="1"/>
  <c r="D16" i="4"/>
  <c r="E16" i="4" s="1"/>
  <c r="F16" i="4" s="1"/>
  <c r="D15" i="4"/>
  <c r="E15" i="4" s="1"/>
  <c r="F15" i="4" s="1"/>
  <c r="D14" i="4"/>
  <c r="E14" i="4" s="1"/>
  <c r="F14" i="4" s="1"/>
  <c r="D13" i="4"/>
  <c r="E13" i="4" s="1"/>
  <c r="F13" i="4" s="1"/>
  <c r="D12" i="4"/>
  <c r="E12" i="4" s="1"/>
  <c r="F12" i="4" s="1"/>
  <c r="D11" i="4"/>
  <c r="E11" i="4" s="1"/>
  <c r="F11" i="4" s="1"/>
  <c r="D10" i="4"/>
  <c r="E10" i="4" s="1"/>
  <c r="F10" i="4" s="1"/>
  <c r="D9" i="4"/>
  <c r="E9" i="4" s="1"/>
  <c r="F9" i="4" s="1"/>
  <c r="D8" i="4"/>
  <c r="E8" i="4" s="1"/>
  <c r="F8" i="4" s="1"/>
  <c r="D7" i="4"/>
  <c r="E7" i="4" s="1"/>
  <c r="F7" i="4" s="1"/>
  <c r="D6" i="4"/>
  <c r="E6" i="4" s="1"/>
  <c r="F6" i="4" s="1"/>
  <c r="D5" i="4"/>
  <c r="E5" i="4" s="1"/>
  <c r="F5" i="4" s="1"/>
  <c r="D4" i="4"/>
  <c r="E4" i="4" s="1"/>
  <c r="F4" i="4" s="1"/>
  <c r="D3" i="4"/>
  <c r="E3" i="4" s="1"/>
  <c r="F3" i="4" s="1"/>
  <c r="D17" i="3"/>
  <c r="E17" i="3" s="1"/>
  <c r="F17" i="3" s="1"/>
  <c r="D16" i="3"/>
  <c r="E16" i="3" s="1"/>
  <c r="F16" i="3" s="1"/>
  <c r="D15" i="3"/>
  <c r="E15" i="3" s="1"/>
  <c r="F15" i="3" s="1"/>
  <c r="D14" i="3"/>
  <c r="E14" i="3" s="1"/>
  <c r="F14" i="3" s="1"/>
  <c r="E13" i="3"/>
  <c r="F13" i="3" s="1"/>
  <c r="D13" i="3"/>
  <c r="D12" i="3"/>
  <c r="E12" i="3" s="1"/>
  <c r="F12" i="3" s="1"/>
  <c r="D11" i="3"/>
  <c r="E11" i="3" s="1"/>
  <c r="F11" i="3" s="1"/>
  <c r="D10" i="3"/>
  <c r="E10" i="3" s="1"/>
  <c r="F10" i="3" s="1"/>
  <c r="D9" i="3"/>
  <c r="E9" i="3" s="1"/>
  <c r="F9" i="3" s="1"/>
  <c r="D8" i="3"/>
  <c r="E8" i="3" s="1"/>
  <c r="F8" i="3" s="1"/>
  <c r="E7" i="3"/>
  <c r="F7" i="3" s="1"/>
  <c r="D7" i="3"/>
  <c r="D6" i="3"/>
  <c r="E6" i="3" s="1"/>
  <c r="F6" i="3" s="1"/>
  <c r="D5" i="3"/>
  <c r="E5" i="3" s="1"/>
  <c r="F5" i="3" s="1"/>
  <c r="D4" i="3"/>
  <c r="E4" i="3" s="1"/>
  <c r="F4" i="3" s="1"/>
  <c r="D3" i="3"/>
  <c r="E3" i="3" s="1"/>
  <c r="F3" i="3" s="1"/>
  <c r="D2" i="3"/>
  <c r="E2" i="3" s="1"/>
  <c r="E17" i="2"/>
  <c r="F17" i="2" s="1"/>
  <c r="D17" i="2"/>
  <c r="D16" i="2"/>
  <c r="E16" i="2" s="1"/>
  <c r="F16" i="2" s="1"/>
  <c r="D15" i="2"/>
  <c r="E15" i="2" s="1"/>
  <c r="F15" i="2" s="1"/>
  <c r="D14" i="2"/>
  <c r="E14" i="2" s="1"/>
  <c r="F14" i="2" s="1"/>
  <c r="D13" i="2"/>
  <c r="E13" i="2" s="1"/>
  <c r="F13" i="2" s="1"/>
  <c r="D12" i="2"/>
  <c r="E12" i="2" s="1"/>
  <c r="F12" i="2" s="1"/>
  <c r="D11" i="2"/>
  <c r="E11" i="2" s="1"/>
  <c r="F11" i="2" s="1"/>
  <c r="D10" i="2"/>
  <c r="E10" i="2" s="1"/>
  <c r="F10" i="2" s="1"/>
  <c r="D9" i="2"/>
  <c r="E9" i="2" s="1"/>
  <c r="F9" i="2" s="1"/>
  <c r="D8" i="2"/>
  <c r="E8" i="2" s="1"/>
  <c r="F8" i="2" s="1"/>
  <c r="D7" i="2"/>
  <c r="E7" i="2" s="1"/>
  <c r="F7" i="2" s="1"/>
  <c r="D6" i="2"/>
  <c r="E6" i="2" s="1"/>
  <c r="F6" i="2" s="1"/>
  <c r="D5" i="2"/>
  <c r="E5" i="2" s="1"/>
  <c r="F5" i="2" s="1"/>
  <c r="D4" i="2"/>
  <c r="E4" i="2" s="1"/>
  <c r="F4" i="2" s="1"/>
  <c r="E3" i="2"/>
  <c r="F3" i="2" s="1"/>
  <c r="D3" i="2"/>
  <c r="D2" i="2"/>
  <c r="E2" i="2" s="1"/>
  <c r="F2" i="2" s="1"/>
  <c r="F2" i="1"/>
  <c r="D2" i="1"/>
  <c r="E2" i="1"/>
  <c r="D17" i="1"/>
  <c r="E17" i="1" s="1"/>
  <c r="F17" i="1" s="1"/>
  <c r="D16" i="1"/>
  <c r="E16" i="1" s="1"/>
  <c r="F16" i="1" s="1"/>
  <c r="D15" i="1"/>
  <c r="E15" i="1" s="1"/>
  <c r="F15" i="1" s="1"/>
  <c r="D14" i="1"/>
  <c r="E14" i="1" s="1"/>
  <c r="F14" i="1" s="1"/>
  <c r="E13" i="1"/>
  <c r="F13" i="1" s="1"/>
  <c r="D13" i="1"/>
  <c r="D12" i="1"/>
  <c r="E12" i="1" s="1"/>
  <c r="F12" i="1" s="1"/>
  <c r="D11" i="1"/>
  <c r="E11" i="1" s="1"/>
  <c r="F11" i="1" s="1"/>
  <c r="D10" i="1"/>
  <c r="E10" i="1" s="1"/>
  <c r="F10" i="1" s="1"/>
  <c r="D9" i="1"/>
  <c r="E9" i="1" s="1"/>
  <c r="F9" i="1" s="1"/>
  <c r="D8" i="1"/>
  <c r="E8" i="1" s="1"/>
  <c r="F8" i="1" s="1"/>
  <c r="D7" i="1"/>
  <c r="E7" i="1" s="1"/>
  <c r="F7" i="1" s="1"/>
  <c r="D6" i="1"/>
  <c r="E6" i="1" s="1"/>
  <c r="F6" i="1" s="1"/>
  <c r="D5" i="1"/>
  <c r="E5" i="1" s="1"/>
  <c r="F5" i="1" s="1"/>
  <c r="D4" i="1"/>
  <c r="E4" i="1" s="1"/>
  <c r="F4" i="1" s="1"/>
  <c r="D3" i="1"/>
  <c r="E3" i="1" s="1"/>
  <c r="F3" i="1" s="1"/>
</calcChain>
</file>

<file path=xl/sharedStrings.xml><?xml version="1.0" encoding="utf-8"?>
<sst xmlns="http://schemas.openxmlformats.org/spreadsheetml/2006/main" count="70" uniqueCount="16">
  <si>
    <t>pseudo-replica</t>
  </si>
  <si>
    <t>diameter mm</t>
  </si>
  <si>
    <t>diameter cm</t>
  </si>
  <si>
    <t>radius</t>
  </si>
  <si>
    <t>area</t>
  </si>
  <si>
    <t>N/labID</t>
  </si>
  <si>
    <t>1/1</t>
  </si>
  <si>
    <t>1/2</t>
  </si>
  <si>
    <t>1/3</t>
  </si>
  <si>
    <t>1/4</t>
  </si>
  <si>
    <t>2/3</t>
  </si>
  <si>
    <t>3/4</t>
  </si>
  <si>
    <t>4/5</t>
  </si>
  <si>
    <t>2/2</t>
  </si>
  <si>
    <t>3/3</t>
  </si>
  <si>
    <t>4/4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</si>
</sst>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8" xfId="0" applyBorder="1"/>
    <xf numFmtId="0" fontId="0" fillId="0" borderId="3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49" fontId="0" fillId="0" borderId="0" xfId="0" applyNumberFormat="1"/>
    <xf numFmtId="0" fontId="0" fillId="0" borderId="16" xfId="0" applyBorder="1"/>
    <xf numFmtId="0" fontId="0" fillId="0" borderId="17" xfId="0" applyBorder="1"/>
    <xf numFmtId="0" fontId="0" fillId="0" borderId="18" xfId="0" applyBorder="1"/>
    <xf numFmtId="49" fontId="0" fillId="0" borderId="16" xfId="0" applyNumberFormat="1" applyBorder="1"/>
    <xf numFmtId="49" fontId="0" fillId="0" borderId="15" xfId="0" applyNumberFormat="1" applyBorder="1"/>
    <xf numFmtId="49" fontId="0" fillId="0" borderId="1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6C93-D154-4A9E-9C12-7B908FBFA6C9}">
  <dimension ref="A1:F17"/>
  <sheetViews>
    <sheetView workbookViewId="0">
      <selection activeCell="G18" sqref="G18"/>
    </sheetView>
  </sheetViews>
  <sheetFormatPr defaultRowHeight="14.4" x14ac:dyDescent="0.3"/>
  <cols>
    <col min="2" max="2" width="13.21875" bestFit="1" customWidth="1"/>
    <col min="3" max="3" width="11.6640625" bestFit="1" customWidth="1"/>
    <col min="4" max="4" width="11.109375" bestFit="1" customWidth="1"/>
  </cols>
  <sheetData>
    <row r="1" spans="1:6" ht="15" thickBot="1" x14ac:dyDescent="0.35">
      <c r="A1" s="12" t="s">
        <v>5</v>
      </c>
      <c r="B1" s="13" t="s">
        <v>0</v>
      </c>
      <c r="C1" s="13" t="s">
        <v>1</v>
      </c>
      <c r="D1" s="13" t="s">
        <v>2</v>
      </c>
      <c r="E1" s="13" t="s">
        <v>3</v>
      </c>
      <c r="F1" s="14" t="s">
        <v>4</v>
      </c>
    </row>
    <row r="2" spans="1:6" x14ac:dyDescent="0.3">
      <c r="A2" s="17" t="s">
        <v>6</v>
      </c>
      <c r="B2" s="1">
        <v>1</v>
      </c>
      <c r="C2" s="1">
        <v>4.8150000000000004</v>
      </c>
      <c r="D2" s="1">
        <f>C2/10</f>
        <v>0.48150000000000004</v>
      </c>
      <c r="E2" s="1">
        <f>D2/2</f>
        <v>0.24075000000000002</v>
      </c>
      <c r="F2" s="4">
        <f>(E2)^2*3.1416</f>
        <v>0.18208890315000001</v>
      </c>
    </row>
    <row r="3" spans="1:6" x14ac:dyDescent="0.3">
      <c r="A3" s="18"/>
      <c r="B3" s="2">
        <v>2</v>
      </c>
      <c r="C3" s="2">
        <v>4.6909999999999998</v>
      </c>
      <c r="D3" s="2">
        <f t="shared" ref="D3:D17" si="0">C3/10</f>
        <v>0.46909999999999996</v>
      </c>
      <c r="E3" s="2">
        <f t="shared" ref="E3:E17" si="1">D3/2</f>
        <v>0.23454999999999998</v>
      </c>
      <c r="F3" s="5">
        <f t="shared" ref="F3:F17" si="2">(E3)^2*3.1416</f>
        <v>0.17283104777399996</v>
      </c>
    </row>
    <row r="4" spans="1:6" x14ac:dyDescent="0.3">
      <c r="A4" s="18"/>
      <c r="B4" s="2">
        <v>3</v>
      </c>
      <c r="C4" s="2">
        <v>4.6909999999999998</v>
      </c>
      <c r="D4" s="2">
        <f t="shared" si="0"/>
        <v>0.46909999999999996</v>
      </c>
      <c r="E4" s="2">
        <f t="shared" si="1"/>
        <v>0.23454999999999998</v>
      </c>
      <c r="F4" s="5">
        <f t="shared" si="2"/>
        <v>0.17283104777399996</v>
      </c>
    </row>
    <row r="5" spans="1:6" ht="15" thickBot="1" x14ac:dyDescent="0.35">
      <c r="A5" s="19"/>
      <c r="B5" s="3">
        <v>4</v>
      </c>
      <c r="C5" s="3">
        <v>4.6909999999999998</v>
      </c>
      <c r="D5" s="3">
        <f t="shared" si="0"/>
        <v>0.46909999999999996</v>
      </c>
      <c r="E5" s="3">
        <f t="shared" si="1"/>
        <v>0.23454999999999998</v>
      </c>
      <c r="F5" s="6">
        <f t="shared" si="2"/>
        <v>0.17283104777399996</v>
      </c>
    </row>
    <row r="6" spans="1:6" x14ac:dyDescent="0.3">
      <c r="A6" s="17" t="s">
        <v>7</v>
      </c>
      <c r="B6" s="1">
        <v>1</v>
      </c>
      <c r="C6" s="1">
        <v>6.4109999999999996</v>
      </c>
      <c r="D6" s="1">
        <f t="shared" si="0"/>
        <v>0.6411</v>
      </c>
      <c r="E6" s="1">
        <f t="shared" si="1"/>
        <v>0.32055</v>
      </c>
      <c r="F6" s="4">
        <f t="shared" si="2"/>
        <v>0.32280663353400002</v>
      </c>
    </row>
    <row r="7" spans="1:6" x14ac:dyDescent="0.3">
      <c r="A7" s="18"/>
      <c r="B7" s="2">
        <v>2</v>
      </c>
      <c r="C7" s="2">
        <v>6.8920000000000003</v>
      </c>
      <c r="D7" s="2">
        <f t="shared" si="0"/>
        <v>0.68920000000000003</v>
      </c>
      <c r="E7" s="2">
        <f t="shared" si="1"/>
        <v>0.34460000000000002</v>
      </c>
      <c r="F7" s="5">
        <f t="shared" si="2"/>
        <v>0.37306236105599999</v>
      </c>
    </row>
    <row r="8" spans="1:6" x14ac:dyDescent="0.3">
      <c r="A8" s="18"/>
      <c r="B8" s="2">
        <v>3</v>
      </c>
      <c r="C8" s="2">
        <v>6.4130000000000003</v>
      </c>
      <c r="D8" s="2">
        <f t="shared" si="0"/>
        <v>0.64129999999999998</v>
      </c>
      <c r="E8" s="2">
        <f t="shared" si="1"/>
        <v>0.32064999999999999</v>
      </c>
      <c r="F8" s="5">
        <f t="shared" si="2"/>
        <v>0.32300807292599998</v>
      </c>
    </row>
    <row r="9" spans="1:6" ht="15" thickBot="1" x14ac:dyDescent="0.35">
      <c r="A9" s="19"/>
      <c r="B9" s="3">
        <v>4</v>
      </c>
      <c r="C9" s="3">
        <v>6.2510000000000003</v>
      </c>
      <c r="D9" s="3">
        <f t="shared" si="0"/>
        <v>0.62509999999999999</v>
      </c>
      <c r="E9" s="3">
        <f t="shared" si="1"/>
        <v>0.31254999999999999</v>
      </c>
      <c r="F9" s="6">
        <f t="shared" si="2"/>
        <v>0.30689505785399995</v>
      </c>
    </row>
    <row r="10" spans="1:6" x14ac:dyDescent="0.3">
      <c r="A10" s="17" t="s">
        <v>8</v>
      </c>
      <c r="B10" s="1">
        <v>1</v>
      </c>
      <c r="C10" s="1">
        <v>7.5</v>
      </c>
      <c r="D10" s="1">
        <f t="shared" si="0"/>
        <v>0.75</v>
      </c>
      <c r="E10" s="1">
        <f t="shared" si="1"/>
        <v>0.375</v>
      </c>
      <c r="F10" s="4">
        <f t="shared" si="2"/>
        <v>0.4417875</v>
      </c>
    </row>
    <row r="11" spans="1:6" x14ac:dyDescent="0.3">
      <c r="A11" s="18"/>
      <c r="B11" s="2">
        <v>2</v>
      </c>
      <c r="C11" s="2">
        <v>7.9690000000000003</v>
      </c>
      <c r="D11" s="2">
        <f t="shared" si="0"/>
        <v>0.79690000000000005</v>
      </c>
      <c r="E11" s="2">
        <f t="shared" si="1"/>
        <v>0.39845000000000003</v>
      </c>
      <c r="F11" s="5">
        <f t="shared" si="2"/>
        <v>0.498767963694</v>
      </c>
    </row>
    <row r="12" spans="1:6" x14ac:dyDescent="0.3">
      <c r="A12" s="18"/>
      <c r="B12" s="2">
        <v>3</v>
      </c>
      <c r="C12" s="2">
        <v>7.6580000000000004</v>
      </c>
      <c r="D12" s="2">
        <f t="shared" si="0"/>
        <v>0.76580000000000004</v>
      </c>
      <c r="E12" s="2">
        <f t="shared" si="1"/>
        <v>0.38290000000000002</v>
      </c>
      <c r="F12" s="5">
        <f t="shared" si="2"/>
        <v>0.46059754725600005</v>
      </c>
    </row>
    <row r="13" spans="1:6" ht="15" thickBot="1" x14ac:dyDescent="0.35">
      <c r="A13" s="19"/>
      <c r="B13" s="3">
        <v>4</v>
      </c>
      <c r="C13" s="3">
        <v>7.8120000000000003</v>
      </c>
      <c r="D13" s="3">
        <f t="shared" si="0"/>
        <v>0.78120000000000001</v>
      </c>
      <c r="E13" s="3">
        <f t="shared" si="1"/>
        <v>0.3906</v>
      </c>
      <c r="F13" s="6">
        <f t="shared" si="2"/>
        <v>0.47930875977600002</v>
      </c>
    </row>
    <row r="14" spans="1:6" x14ac:dyDescent="0.3">
      <c r="A14" s="17" t="s">
        <v>9</v>
      </c>
      <c r="B14" s="1">
        <v>1</v>
      </c>
      <c r="C14" s="1">
        <v>6.0419999999999998</v>
      </c>
      <c r="D14" s="1">
        <f t="shared" si="0"/>
        <v>0.60419999999999996</v>
      </c>
      <c r="E14" s="1">
        <f t="shared" si="1"/>
        <v>0.30209999999999998</v>
      </c>
      <c r="F14" s="4">
        <f t="shared" si="2"/>
        <v>0.28671627045599996</v>
      </c>
    </row>
    <row r="15" spans="1:6" x14ac:dyDescent="0.3">
      <c r="A15" s="18"/>
      <c r="B15" s="2">
        <v>2</v>
      </c>
      <c r="C15" s="2">
        <v>6.4580000000000002</v>
      </c>
      <c r="D15" s="2">
        <f t="shared" si="0"/>
        <v>0.64580000000000004</v>
      </c>
      <c r="E15" s="2">
        <f t="shared" si="1"/>
        <v>0.32290000000000002</v>
      </c>
      <c r="F15" s="5">
        <f t="shared" si="2"/>
        <v>0.32755707045600002</v>
      </c>
    </row>
    <row r="16" spans="1:6" x14ac:dyDescent="0.3">
      <c r="A16" s="18"/>
      <c r="B16" s="2">
        <v>3</v>
      </c>
      <c r="C16" s="2">
        <v>5.9379999999999997</v>
      </c>
      <c r="D16" s="2">
        <f t="shared" si="0"/>
        <v>0.59379999999999999</v>
      </c>
      <c r="E16" s="2">
        <f t="shared" si="1"/>
        <v>0.2969</v>
      </c>
      <c r="F16" s="5">
        <f t="shared" si="2"/>
        <v>0.27693081477600001</v>
      </c>
    </row>
    <row r="17" spans="1:6" ht="15" thickBot="1" x14ac:dyDescent="0.35">
      <c r="A17" s="19"/>
      <c r="B17" s="3">
        <v>4</v>
      </c>
      <c r="C17" s="3">
        <v>6.0430000000000001</v>
      </c>
      <c r="D17" s="3">
        <f t="shared" si="0"/>
        <v>0.60430000000000006</v>
      </c>
      <c r="E17" s="3">
        <f t="shared" si="1"/>
        <v>0.30215000000000003</v>
      </c>
      <c r="F17" s="6">
        <f t="shared" si="2"/>
        <v>0.28681118604600003</v>
      </c>
    </row>
  </sheetData>
  <mergeCells count="4">
    <mergeCell ref="A2:A5"/>
    <mergeCell ref="A6:A9"/>
    <mergeCell ref="A10:A13"/>
    <mergeCell ref="A14:A1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6FB3-B848-4F1C-AC71-7077E9E55BE7}">
  <dimension ref="A1:F17"/>
  <sheetViews>
    <sheetView zoomScale="120" zoomScaleNormal="120" workbookViewId="0">
      <selection activeCell="G8" sqref="G8"/>
    </sheetView>
  </sheetViews>
  <sheetFormatPr defaultRowHeight="14.4" x14ac:dyDescent="0.3"/>
  <cols>
    <col min="2" max="2" width="13.21875" bestFit="1" customWidth="1"/>
    <col min="3" max="3" width="11.6640625" bestFit="1" customWidth="1"/>
    <col min="4" max="4" width="11.109375" bestFit="1" customWidth="1"/>
  </cols>
  <sheetData>
    <row r="1" spans="1:6" ht="15" thickBot="1" x14ac:dyDescent="0.35">
      <c r="A1" s="12" t="s">
        <v>5</v>
      </c>
      <c r="B1" s="13" t="s">
        <v>0</v>
      </c>
      <c r="C1" s="13" t="s">
        <v>1</v>
      </c>
      <c r="D1" s="13" t="s">
        <v>2</v>
      </c>
      <c r="E1" s="13" t="s">
        <v>3</v>
      </c>
      <c r="F1" s="14" t="s">
        <v>4</v>
      </c>
    </row>
    <row r="2" spans="1:6" x14ac:dyDescent="0.3">
      <c r="A2" s="17" t="s">
        <v>6</v>
      </c>
      <c r="B2" s="1">
        <v>1</v>
      </c>
      <c r="C2" s="1">
        <v>4.8150000000000004</v>
      </c>
      <c r="D2" s="1">
        <f>C2/10</f>
        <v>0.48150000000000004</v>
      </c>
      <c r="E2" s="1">
        <f>D2/2</f>
        <v>0.24075000000000002</v>
      </c>
      <c r="F2" s="4">
        <f>(E2)^2*3.1416</f>
        <v>0.18208890315000001</v>
      </c>
    </row>
    <row r="3" spans="1:6" x14ac:dyDescent="0.3">
      <c r="A3" s="18"/>
      <c r="B3" s="2">
        <v>2</v>
      </c>
      <c r="C3" s="2">
        <v>5.1849999999999996</v>
      </c>
      <c r="D3" s="2">
        <f t="shared" ref="D3:D17" si="0">C3/10</f>
        <v>0.51849999999999996</v>
      </c>
      <c r="E3" s="2">
        <f t="shared" ref="E3:E17" si="1">D3/2</f>
        <v>0.25924999999999998</v>
      </c>
      <c r="F3" s="5">
        <f t="shared" ref="F3:F17" si="2">(E3)^2*3.1416</f>
        <v>0.21114870314999995</v>
      </c>
    </row>
    <row r="4" spans="1:6" x14ac:dyDescent="0.3">
      <c r="A4" s="18"/>
      <c r="B4" s="2">
        <v>3</v>
      </c>
      <c r="C4" s="2">
        <v>5.0620000000000003</v>
      </c>
      <c r="D4" s="2">
        <f t="shared" si="0"/>
        <v>0.50619999999999998</v>
      </c>
      <c r="E4" s="2">
        <f t="shared" si="1"/>
        <v>0.25309999999999999</v>
      </c>
      <c r="F4" s="5">
        <f t="shared" si="2"/>
        <v>0.20124967077599995</v>
      </c>
    </row>
    <row r="5" spans="1:6" ht="15" thickBot="1" x14ac:dyDescent="0.35">
      <c r="A5" s="19"/>
      <c r="B5" s="3">
        <v>4</v>
      </c>
      <c r="C5" s="3">
        <v>5.1849999999999996</v>
      </c>
      <c r="D5" s="3">
        <f t="shared" si="0"/>
        <v>0.51849999999999996</v>
      </c>
      <c r="E5" s="3">
        <f t="shared" si="1"/>
        <v>0.25924999999999998</v>
      </c>
      <c r="F5" s="6">
        <f t="shared" si="2"/>
        <v>0.21114870314999995</v>
      </c>
    </row>
    <row r="6" spans="1:6" x14ac:dyDescent="0.3">
      <c r="A6" s="17" t="s">
        <v>7</v>
      </c>
      <c r="B6" s="1">
        <v>1</v>
      </c>
      <c r="C6" s="1">
        <v>6.7309999999999999</v>
      </c>
      <c r="D6" s="1">
        <f t="shared" si="0"/>
        <v>0.67310000000000003</v>
      </c>
      <c r="E6" s="1">
        <f t="shared" si="1"/>
        <v>0.33655000000000002</v>
      </c>
      <c r="F6" s="4">
        <f t="shared" si="2"/>
        <v>0.35583615929400003</v>
      </c>
    </row>
    <row r="7" spans="1:6" x14ac:dyDescent="0.3">
      <c r="A7" s="18"/>
      <c r="B7" s="2">
        <v>2</v>
      </c>
      <c r="C7" s="2">
        <v>6.7309999999999999</v>
      </c>
      <c r="D7" s="2">
        <f t="shared" si="0"/>
        <v>0.67310000000000003</v>
      </c>
      <c r="E7" s="2">
        <f t="shared" si="1"/>
        <v>0.33655000000000002</v>
      </c>
      <c r="F7" s="5">
        <f t="shared" si="2"/>
        <v>0.35583615929400003</v>
      </c>
    </row>
    <row r="8" spans="1:6" x14ac:dyDescent="0.3">
      <c r="A8" s="18"/>
      <c r="B8" s="2">
        <v>3</v>
      </c>
      <c r="C8" s="2">
        <v>7.0540000000000003</v>
      </c>
      <c r="D8" s="2">
        <f t="shared" si="0"/>
        <v>0.70540000000000003</v>
      </c>
      <c r="E8" s="2">
        <f t="shared" si="1"/>
        <v>0.35270000000000001</v>
      </c>
      <c r="F8" s="5">
        <f t="shared" si="2"/>
        <v>0.39080652626400003</v>
      </c>
    </row>
    <row r="9" spans="1:6" ht="15" thickBot="1" x14ac:dyDescent="0.35">
      <c r="A9" s="19"/>
      <c r="B9" s="3">
        <v>4</v>
      </c>
      <c r="C9" s="3">
        <v>7.2119999999999997</v>
      </c>
      <c r="D9" s="3">
        <f t="shared" si="0"/>
        <v>0.72119999999999995</v>
      </c>
      <c r="E9" s="3">
        <f t="shared" si="1"/>
        <v>0.36059999999999998</v>
      </c>
      <c r="F9" s="6">
        <f t="shared" si="2"/>
        <v>0.40850966217599993</v>
      </c>
    </row>
    <row r="10" spans="1:6" x14ac:dyDescent="0.3">
      <c r="A10" s="17" t="s">
        <v>8</v>
      </c>
      <c r="B10" s="1">
        <v>1</v>
      </c>
      <c r="C10" s="1">
        <v>7.6580000000000004</v>
      </c>
      <c r="D10" s="1">
        <f t="shared" si="0"/>
        <v>0.76580000000000004</v>
      </c>
      <c r="E10" s="1">
        <f t="shared" si="1"/>
        <v>0.38290000000000002</v>
      </c>
      <c r="F10" s="4">
        <f t="shared" si="2"/>
        <v>0.46059754725600005</v>
      </c>
    </row>
    <row r="11" spans="1:6" x14ac:dyDescent="0.3">
      <c r="A11" s="18"/>
      <c r="B11" s="2">
        <v>2</v>
      </c>
      <c r="C11" s="2">
        <v>7.3440000000000003</v>
      </c>
      <c r="D11" s="2">
        <f t="shared" si="0"/>
        <v>0.73440000000000005</v>
      </c>
      <c r="E11" s="2">
        <f t="shared" si="1"/>
        <v>0.36720000000000003</v>
      </c>
      <c r="F11" s="5">
        <f t="shared" si="2"/>
        <v>0.42360027494400004</v>
      </c>
    </row>
    <row r="12" spans="1:6" x14ac:dyDescent="0.3">
      <c r="A12" s="18"/>
      <c r="B12" s="2">
        <v>3</v>
      </c>
      <c r="C12" s="2">
        <v>7.3449999999999998</v>
      </c>
      <c r="D12" s="2">
        <f t="shared" si="0"/>
        <v>0.73449999999999993</v>
      </c>
      <c r="E12" s="2">
        <f t="shared" si="1"/>
        <v>0.36724999999999997</v>
      </c>
      <c r="F12" s="5">
        <f t="shared" si="2"/>
        <v>0.42371564234999998</v>
      </c>
    </row>
    <row r="13" spans="1:6" ht="15" thickBot="1" x14ac:dyDescent="0.35">
      <c r="A13" s="19"/>
      <c r="B13" s="3">
        <v>4</v>
      </c>
      <c r="C13" s="3">
        <v>8.4380000000000006</v>
      </c>
      <c r="D13" s="3">
        <f t="shared" si="0"/>
        <v>0.84380000000000011</v>
      </c>
      <c r="E13" s="3">
        <f t="shared" si="1"/>
        <v>0.42190000000000005</v>
      </c>
      <c r="F13" s="6">
        <f t="shared" si="2"/>
        <v>0.55920357477600013</v>
      </c>
    </row>
    <row r="14" spans="1:6" x14ac:dyDescent="0.3">
      <c r="A14" s="17" t="s">
        <v>9</v>
      </c>
      <c r="B14" s="1">
        <v>1</v>
      </c>
      <c r="C14" s="1">
        <v>6.0940000000000003</v>
      </c>
      <c r="D14" s="1">
        <f t="shared" si="0"/>
        <v>0.60940000000000005</v>
      </c>
      <c r="E14" s="1">
        <f t="shared" si="1"/>
        <v>0.30470000000000003</v>
      </c>
      <c r="F14" s="4">
        <f t="shared" si="2"/>
        <v>0.29167270994400002</v>
      </c>
    </row>
    <row r="15" spans="1:6" x14ac:dyDescent="0.3">
      <c r="A15" s="18"/>
      <c r="B15" s="2">
        <v>2</v>
      </c>
      <c r="C15" s="2">
        <v>5.73</v>
      </c>
      <c r="D15" s="2">
        <f t="shared" si="0"/>
        <v>0.57300000000000006</v>
      </c>
      <c r="E15" s="2">
        <f t="shared" si="1"/>
        <v>0.28650000000000003</v>
      </c>
      <c r="F15" s="5">
        <f t="shared" si="2"/>
        <v>0.25786959660000008</v>
      </c>
    </row>
    <row r="16" spans="1:6" x14ac:dyDescent="0.3">
      <c r="A16" s="18"/>
      <c r="B16" s="2">
        <v>3</v>
      </c>
      <c r="C16" s="2">
        <v>5.625</v>
      </c>
      <c r="D16" s="2">
        <f t="shared" si="0"/>
        <v>0.5625</v>
      </c>
      <c r="E16" s="2">
        <f t="shared" si="1"/>
        <v>0.28125</v>
      </c>
      <c r="F16" s="5">
        <f t="shared" si="2"/>
        <v>0.24850546874999999</v>
      </c>
    </row>
    <row r="17" spans="1:6" ht="15" thickBot="1" x14ac:dyDescent="0.35">
      <c r="A17" s="19"/>
      <c r="B17" s="3">
        <v>4</v>
      </c>
      <c r="C17" s="3">
        <v>5.3120000000000003</v>
      </c>
      <c r="D17" s="3">
        <f t="shared" si="0"/>
        <v>0.53120000000000001</v>
      </c>
      <c r="E17" s="3">
        <f t="shared" si="1"/>
        <v>0.2656</v>
      </c>
      <c r="F17" s="6">
        <f t="shared" si="2"/>
        <v>0.22161901977599999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C73B-7FCA-4A15-98C9-859E9EAC538A}">
  <dimension ref="A1:F17"/>
  <sheetViews>
    <sheetView zoomScale="120" zoomScaleNormal="120" workbookViewId="0">
      <selection activeCell="B23" sqref="B23"/>
    </sheetView>
  </sheetViews>
  <sheetFormatPr defaultRowHeight="14.4" x14ac:dyDescent="0.3"/>
  <cols>
    <col min="2" max="2" width="13.21875" bestFit="1" customWidth="1"/>
    <col min="3" max="3" width="11.6640625" bestFit="1" customWidth="1"/>
    <col min="4" max="4" width="11.109375" bestFit="1" customWidth="1"/>
  </cols>
  <sheetData>
    <row r="1" spans="1:6" ht="15" thickBot="1" x14ac:dyDescent="0.35">
      <c r="A1" s="12" t="s">
        <v>5</v>
      </c>
      <c r="B1" s="13" t="s">
        <v>0</v>
      </c>
      <c r="C1" s="13" t="s">
        <v>1</v>
      </c>
      <c r="D1" s="13" t="s">
        <v>2</v>
      </c>
      <c r="E1" s="13" t="s">
        <v>3</v>
      </c>
      <c r="F1" s="14" t="s">
        <v>4</v>
      </c>
    </row>
    <row r="2" spans="1:6" x14ac:dyDescent="0.3">
      <c r="A2" s="17" t="s">
        <v>7</v>
      </c>
      <c r="B2" s="1">
        <v>1</v>
      </c>
      <c r="C2" s="1">
        <v>7.6950000000000003</v>
      </c>
      <c r="D2" s="1">
        <f t="shared" ref="D2:D17" si="0">C2/10</f>
        <v>0.76950000000000007</v>
      </c>
      <c r="E2" s="1">
        <f t="shared" ref="E2:E17" si="1">D2/2</f>
        <v>0.38475000000000004</v>
      </c>
      <c r="F2" s="4">
        <f>(E2)^2*3.1416</f>
        <v>0.46505909835000003</v>
      </c>
    </row>
    <row r="3" spans="1:6" x14ac:dyDescent="0.3">
      <c r="A3" s="18"/>
      <c r="B3" s="2">
        <v>2</v>
      </c>
      <c r="C3" s="2">
        <v>7.0519999999999996</v>
      </c>
      <c r="D3" s="2">
        <f t="shared" si="0"/>
        <v>0.70519999999999994</v>
      </c>
      <c r="E3" s="2">
        <f t="shared" si="1"/>
        <v>0.35259999999999997</v>
      </c>
      <c r="F3" s="5">
        <f t="shared" ref="F3:F17" si="2">(E3)^2*3.1416</f>
        <v>0.39058494921599995</v>
      </c>
    </row>
    <row r="4" spans="1:6" x14ac:dyDescent="0.3">
      <c r="A4" s="18"/>
      <c r="B4" s="2">
        <v>3</v>
      </c>
      <c r="C4" s="2">
        <v>7.3739999999999997</v>
      </c>
      <c r="D4" s="2">
        <f t="shared" si="0"/>
        <v>0.73739999999999994</v>
      </c>
      <c r="E4" s="2">
        <f t="shared" si="1"/>
        <v>0.36869999999999997</v>
      </c>
      <c r="F4" s="5">
        <f t="shared" si="2"/>
        <v>0.42706813010399991</v>
      </c>
    </row>
    <row r="5" spans="1:6" ht="15" thickBot="1" x14ac:dyDescent="0.35">
      <c r="A5" s="19"/>
      <c r="B5" s="3">
        <v>4</v>
      </c>
      <c r="C5" s="3">
        <v>7.8550000000000004</v>
      </c>
      <c r="D5" s="3">
        <f t="shared" si="0"/>
        <v>0.78550000000000009</v>
      </c>
      <c r="E5" s="3">
        <f t="shared" si="1"/>
        <v>0.39275000000000004</v>
      </c>
      <c r="F5" s="6">
        <f t="shared" si="2"/>
        <v>0.48459985035000008</v>
      </c>
    </row>
    <row r="6" spans="1:6" x14ac:dyDescent="0.3">
      <c r="A6" s="17" t="s">
        <v>10</v>
      </c>
      <c r="B6" s="1">
        <v>1</v>
      </c>
      <c r="C6" s="1">
        <v>6.875</v>
      </c>
      <c r="D6" s="1">
        <f t="shared" si="0"/>
        <v>0.6875</v>
      </c>
      <c r="E6" s="1">
        <f t="shared" si="1"/>
        <v>0.34375</v>
      </c>
      <c r="F6" s="4">
        <f t="shared" si="2"/>
        <v>0.37122421875</v>
      </c>
    </row>
    <row r="7" spans="1:6" x14ac:dyDescent="0.3">
      <c r="A7" s="18"/>
      <c r="B7" s="2">
        <v>2</v>
      </c>
      <c r="C7" s="2">
        <v>7.8140000000000001</v>
      </c>
      <c r="D7" s="2">
        <f t="shared" si="0"/>
        <v>0.78139999999999998</v>
      </c>
      <c r="E7" s="2">
        <f t="shared" si="1"/>
        <v>0.39069999999999999</v>
      </c>
      <c r="F7" s="5">
        <f t="shared" si="2"/>
        <v>0.47955421298399997</v>
      </c>
    </row>
    <row r="8" spans="1:6" x14ac:dyDescent="0.3">
      <c r="A8" s="18"/>
      <c r="B8" s="2">
        <v>3</v>
      </c>
      <c r="C8" s="2">
        <v>7.35</v>
      </c>
      <c r="D8" s="2">
        <f t="shared" si="0"/>
        <v>0.73499999999999999</v>
      </c>
      <c r="E8" s="2">
        <f t="shared" si="1"/>
        <v>0.36749999999999999</v>
      </c>
      <c r="F8" s="5">
        <f t="shared" si="2"/>
        <v>0.42429271499999993</v>
      </c>
    </row>
    <row r="9" spans="1:6" ht="15" thickBot="1" x14ac:dyDescent="0.35">
      <c r="A9" s="19"/>
      <c r="B9" s="3">
        <v>4</v>
      </c>
      <c r="C9" s="3">
        <v>8.125</v>
      </c>
      <c r="D9" s="3">
        <f t="shared" si="0"/>
        <v>0.8125</v>
      </c>
      <c r="E9" s="3">
        <f t="shared" si="1"/>
        <v>0.40625</v>
      </c>
      <c r="F9" s="6">
        <f t="shared" si="2"/>
        <v>0.51848671874999996</v>
      </c>
    </row>
    <row r="10" spans="1:6" x14ac:dyDescent="0.3">
      <c r="A10" s="17" t="s">
        <v>11</v>
      </c>
      <c r="B10" s="1">
        <v>1</v>
      </c>
      <c r="C10" s="1">
        <v>5.7290000000000001</v>
      </c>
      <c r="D10" s="1">
        <f t="shared" si="0"/>
        <v>0.57289999999999996</v>
      </c>
      <c r="E10" s="1">
        <f t="shared" si="1"/>
        <v>0.28644999999999998</v>
      </c>
      <c r="F10" s="4">
        <f t="shared" si="2"/>
        <v>0.25777959761399999</v>
      </c>
    </row>
    <row r="11" spans="1:6" x14ac:dyDescent="0.3">
      <c r="A11" s="18"/>
      <c r="B11" s="2">
        <v>2</v>
      </c>
      <c r="C11" s="2">
        <v>4.5830000000000002</v>
      </c>
      <c r="D11" s="2">
        <f t="shared" si="0"/>
        <v>0.45830000000000004</v>
      </c>
      <c r="E11" s="2">
        <f t="shared" si="1"/>
        <v>0.22915000000000002</v>
      </c>
      <c r="F11" s="5">
        <f t="shared" si="2"/>
        <v>0.16496454420600001</v>
      </c>
    </row>
    <row r="12" spans="1:6" x14ac:dyDescent="0.3">
      <c r="A12" s="18"/>
      <c r="B12" s="2">
        <v>3</v>
      </c>
      <c r="C12" s="2">
        <v>5.8330000000000002</v>
      </c>
      <c r="D12" s="2">
        <f t="shared" si="0"/>
        <v>0.58330000000000004</v>
      </c>
      <c r="E12" s="2">
        <f t="shared" si="1"/>
        <v>0.29165000000000002</v>
      </c>
      <c r="F12" s="5">
        <f t="shared" si="2"/>
        <v>0.26722362420600004</v>
      </c>
    </row>
    <row r="13" spans="1:6" ht="15" thickBot="1" x14ac:dyDescent="0.35">
      <c r="A13" s="19"/>
      <c r="B13" s="3">
        <v>4</v>
      </c>
      <c r="C13" s="3">
        <v>5.7290000000000001</v>
      </c>
      <c r="D13" s="3">
        <f t="shared" si="0"/>
        <v>0.57289999999999996</v>
      </c>
      <c r="E13" s="3">
        <f t="shared" si="1"/>
        <v>0.28644999999999998</v>
      </c>
      <c r="F13" s="6">
        <f t="shared" si="2"/>
        <v>0.25777959761399999</v>
      </c>
    </row>
    <row r="14" spans="1:6" x14ac:dyDescent="0.3">
      <c r="A14" s="17" t="s">
        <v>12</v>
      </c>
      <c r="B14" s="1">
        <v>1</v>
      </c>
      <c r="C14" s="1">
        <v>6.4059999999999997</v>
      </c>
      <c r="D14" s="1">
        <f t="shared" si="0"/>
        <v>0.64059999999999995</v>
      </c>
      <c r="E14" s="1">
        <f t="shared" si="1"/>
        <v>0.32029999999999997</v>
      </c>
      <c r="F14" s="4">
        <f t="shared" si="2"/>
        <v>0.32230330994399992</v>
      </c>
    </row>
    <row r="15" spans="1:6" x14ac:dyDescent="0.3">
      <c r="A15" s="18"/>
      <c r="B15" s="2">
        <v>2</v>
      </c>
      <c r="C15" s="2">
        <v>6.1459999999999999</v>
      </c>
      <c r="D15" s="2">
        <f t="shared" si="0"/>
        <v>0.61460000000000004</v>
      </c>
      <c r="E15" s="2">
        <f t="shared" si="1"/>
        <v>0.30730000000000002</v>
      </c>
      <c r="F15" s="5">
        <f t="shared" si="2"/>
        <v>0.29667162386400003</v>
      </c>
    </row>
    <row r="16" spans="1:6" x14ac:dyDescent="0.3">
      <c r="A16" s="18"/>
      <c r="B16" s="2">
        <v>3</v>
      </c>
      <c r="C16" s="2">
        <v>5.9379999999999997</v>
      </c>
      <c r="D16" s="2">
        <f t="shared" si="0"/>
        <v>0.59379999999999999</v>
      </c>
      <c r="E16" s="2">
        <f t="shared" si="1"/>
        <v>0.2969</v>
      </c>
      <c r="F16" s="5">
        <f t="shared" si="2"/>
        <v>0.27693081477600001</v>
      </c>
    </row>
    <row r="17" spans="1:6" ht="15" thickBot="1" x14ac:dyDescent="0.35">
      <c r="A17" s="19"/>
      <c r="B17" s="3">
        <v>4</v>
      </c>
      <c r="C17" s="3">
        <v>6.1459999999999999</v>
      </c>
      <c r="D17" s="3">
        <f t="shared" si="0"/>
        <v>0.61460000000000004</v>
      </c>
      <c r="E17" s="3">
        <f t="shared" si="1"/>
        <v>0.30730000000000002</v>
      </c>
      <c r="F17" s="6">
        <f t="shared" si="2"/>
        <v>0.29667162386400003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66DAD-9B0E-4B17-9B09-C9ACAA10B045}">
  <dimension ref="A1:F17"/>
  <sheetViews>
    <sheetView tabSelected="1" zoomScale="130" zoomScaleNormal="130" workbookViewId="0">
      <selection activeCell="G2" sqref="G2:G17"/>
    </sheetView>
  </sheetViews>
  <sheetFormatPr defaultRowHeight="14.4" x14ac:dyDescent="0.3"/>
  <cols>
    <col min="2" max="2" width="13.21875" bestFit="1" customWidth="1"/>
    <col min="3" max="3" width="11.6640625" bestFit="1" customWidth="1"/>
    <col min="4" max="4" width="11.109375" bestFit="1" customWidth="1"/>
  </cols>
  <sheetData>
    <row r="1" spans="1:6" ht="15" thickBot="1" x14ac:dyDescent="0.35">
      <c r="A1" s="12" t="s">
        <v>5</v>
      </c>
      <c r="B1" s="8" t="s">
        <v>0</v>
      </c>
      <c r="C1" s="8" t="s">
        <v>1</v>
      </c>
      <c r="D1" s="8" t="s">
        <v>2</v>
      </c>
      <c r="E1" s="8" t="s">
        <v>3</v>
      </c>
      <c r="F1" s="9" t="s">
        <v>4</v>
      </c>
    </row>
    <row r="2" spans="1:6" x14ac:dyDescent="0.3">
      <c r="A2" s="17" t="s">
        <v>6</v>
      </c>
      <c r="B2" s="1">
        <v>1</v>
      </c>
      <c r="C2" s="1">
        <v>5.093</v>
      </c>
      <c r="D2" s="1">
        <f>C2/10</f>
        <v>0.50929999999999997</v>
      </c>
      <c r="E2" s="1">
        <f>D2/2</f>
        <v>0.25464999999999999</v>
      </c>
      <c r="F2" s="4">
        <f>(E2)^2*3.1416</f>
        <v>0.20372214924599996</v>
      </c>
    </row>
    <row r="3" spans="1:6" x14ac:dyDescent="0.3">
      <c r="A3" s="18"/>
      <c r="B3" s="2">
        <v>2</v>
      </c>
      <c r="C3" s="2">
        <v>5.3090000000000002</v>
      </c>
      <c r="D3" s="2">
        <f t="shared" ref="D3:D17" si="0">C3/10</f>
        <v>0.53090000000000004</v>
      </c>
      <c r="E3" s="2">
        <f t="shared" ref="E3:E12" si="1">D3/2</f>
        <v>0.26545000000000002</v>
      </c>
      <c r="F3" s="5">
        <f t="shared" ref="F3:G17" si="2">(E3)^2*3.1416</f>
        <v>0.22136876777400005</v>
      </c>
    </row>
    <row r="4" spans="1:6" x14ac:dyDescent="0.3">
      <c r="A4" s="18"/>
      <c r="B4" s="2">
        <v>3</v>
      </c>
      <c r="C4" s="2">
        <v>4.444</v>
      </c>
      <c r="D4" s="2">
        <f t="shared" si="0"/>
        <v>0.44440000000000002</v>
      </c>
      <c r="E4" s="2">
        <f t="shared" si="1"/>
        <v>0.22220000000000001</v>
      </c>
      <c r="F4" s="5">
        <f t="shared" si="2"/>
        <v>0.15510971414399999</v>
      </c>
    </row>
    <row r="5" spans="1:6" ht="15" thickBot="1" x14ac:dyDescent="0.35">
      <c r="A5" s="19"/>
      <c r="B5" s="3">
        <v>4</v>
      </c>
      <c r="C5" s="3">
        <v>4.6929999999999996</v>
      </c>
      <c r="D5" s="3">
        <f t="shared" si="0"/>
        <v>0.46929999999999994</v>
      </c>
      <c r="E5" s="3">
        <f t="shared" si="1"/>
        <v>0.23464999999999997</v>
      </c>
      <c r="F5" s="6">
        <f t="shared" si="2"/>
        <v>0.17297845164599995</v>
      </c>
    </row>
    <row r="6" spans="1:6" x14ac:dyDescent="0.3">
      <c r="A6" s="17" t="s">
        <v>13</v>
      </c>
      <c r="B6" s="1">
        <v>1</v>
      </c>
      <c r="C6" s="1">
        <v>7.2140000000000004</v>
      </c>
      <c r="D6" s="1">
        <f t="shared" si="0"/>
        <v>0.72140000000000004</v>
      </c>
      <c r="E6" s="1">
        <f t="shared" si="1"/>
        <v>0.36070000000000002</v>
      </c>
      <c r="F6" s="4">
        <f t="shared" si="2"/>
        <v>0.40873626578400007</v>
      </c>
    </row>
    <row r="7" spans="1:6" x14ac:dyDescent="0.3">
      <c r="A7" s="18"/>
      <c r="B7" s="2">
        <v>2</v>
      </c>
      <c r="C7" s="2">
        <v>7.0519999999999996</v>
      </c>
      <c r="D7" s="2">
        <f t="shared" si="0"/>
        <v>0.70519999999999994</v>
      </c>
      <c r="E7" s="2">
        <f t="shared" si="1"/>
        <v>0.35259999999999997</v>
      </c>
      <c r="F7" s="5">
        <f t="shared" si="2"/>
        <v>0.39058494921599995</v>
      </c>
    </row>
    <row r="8" spans="1:6" x14ac:dyDescent="0.3">
      <c r="A8" s="18"/>
      <c r="B8" s="2">
        <v>3</v>
      </c>
      <c r="C8" s="2">
        <v>7.6950000000000003</v>
      </c>
      <c r="D8" s="2">
        <f t="shared" si="0"/>
        <v>0.76950000000000007</v>
      </c>
      <c r="E8" s="2">
        <f t="shared" si="1"/>
        <v>0.38475000000000004</v>
      </c>
      <c r="F8" s="5">
        <f t="shared" si="2"/>
        <v>0.46505909835000003</v>
      </c>
    </row>
    <row r="9" spans="1:6" ht="15" thickBot="1" x14ac:dyDescent="0.35">
      <c r="A9" s="19"/>
      <c r="B9" s="3">
        <v>4</v>
      </c>
      <c r="C9" s="3">
        <v>7.8529999999999998</v>
      </c>
      <c r="D9" s="3">
        <f t="shared" si="0"/>
        <v>0.7853</v>
      </c>
      <c r="E9" s="3">
        <f t="shared" si="1"/>
        <v>0.39265</v>
      </c>
      <c r="F9" s="6">
        <f t="shared" si="2"/>
        <v>0.48435310908599999</v>
      </c>
    </row>
    <row r="10" spans="1:6" x14ac:dyDescent="0.3">
      <c r="A10" s="17" t="s">
        <v>14</v>
      </c>
      <c r="B10" s="1">
        <v>1</v>
      </c>
      <c r="C10">
        <v>7.3129999999999997</v>
      </c>
      <c r="D10" s="1">
        <f t="shared" si="0"/>
        <v>0.73129999999999995</v>
      </c>
      <c r="E10" s="1">
        <f t="shared" si="1"/>
        <v>0.36564999999999998</v>
      </c>
      <c r="F10" s="4">
        <f t="shared" si="2"/>
        <v>0.42003167652599993</v>
      </c>
    </row>
    <row r="11" spans="1:6" x14ac:dyDescent="0.3">
      <c r="A11" s="18"/>
      <c r="B11" s="2">
        <v>2</v>
      </c>
      <c r="C11">
        <v>8.3510000000000009</v>
      </c>
      <c r="D11" s="2">
        <f t="shared" si="0"/>
        <v>0.83510000000000006</v>
      </c>
      <c r="E11" s="2">
        <f t="shared" si="1"/>
        <v>0.41755000000000003</v>
      </c>
      <c r="F11" s="5">
        <f t="shared" si="2"/>
        <v>0.54773168465400002</v>
      </c>
    </row>
    <row r="12" spans="1:6" x14ac:dyDescent="0.3">
      <c r="A12" s="18"/>
      <c r="B12" s="2">
        <v>3</v>
      </c>
      <c r="C12">
        <v>7.835</v>
      </c>
      <c r="D12" s="2">
        <f t="shared" si="0"/>
        <v>0.78349999999999997</v>
      </c>
      <c r="E12" s="2">
        <f t="shared" si="1"/>
        <v>0.39174999999999999</v>
      </c>
      <c r="F12" s="5">
        <f t="shared" si="2"/>
        <v>0.48213526514999999</v>
      </c>
    </row>
    <row r="13" spans="1:6" ht="15" thickBot="1" x14ac:dyDescent="0.35">
      <c r="A13" s="19"/>
      <c r="B13" s="3">
        <v>4</v>
      </c>
      <c r="C13">
        <v>8.2479999999999993</v>
      </c>
      <c r="D13" s="3">
        <f t="shared" si="0"/>
        <v>0.82479999999999998</v>
      </c>
      <c r="E13" s="3">
        <f>D13/2</f>
        <v>0.41239999999999999</v>
      </c>
      <c r="F13" s="6">
        <f>(E13)^2*3.1416</f>
        <v>0.53430372441599994</v>
      </c>
    </row>
    <row r="14" spans="1:6" x14ac:dyDescent="0.3">
      <c r="A14" s="17" t="s">
        <v>15</v>
      </c>
      <c r="B14" s="1">
        <v>1</v>
      </c>
      <c r="C14" s="1">
        <v>5.6269999999999998</v>
      </c>
      <c r="D14" s="1">
        <f t="shared" si="0"/>
        <v>0.56269999999999998</v>
      </c>
      <c r="E14" s="1">
        <f t="shared" ref="E14:E17" si="3">D14/2</f>
        <v>0.28134999999999999</v>
      </c>
      <c r="F14" s="4">
        <f t="shared" ref="F14:F17" si="4">(E14)^2*3.1416</f>
        <v>0.24868221516599995</v>
      </c>
    </row>
    <row r="15" spans="1:6" x14ac:dyDescent="0.3">
      <c r="A15" s="18"/>
      <c r="B15" s="2">
        <v>2</v>
      </c>
      <c r="C15" s="2">
        <v>5.5220000000000002</v>
      </c>
      <c r="D15" s="2">
        <f t="shared" si="0"/>
        <v>0.55220000000000002</v>
      </c>
      <c r="E15" s="2">
        <f t="shared" si="3"/>
        <v>0.27610000000000001</v>
      </c>
      <c r="F15" s="5">
        <f t="shared" si="4"/>
        <v>0.23948796933600003</v>
      </c>
    </row>
    <row r="16" spans="1:6" x14ac:dyDescent="0.3">
      <c r="A16" s="18"/>
      <c r="B16" s="2">
        <v>3</v>
      </c>
      <c r="C16" s="2">
        <v>5.6260000000000003</v>
      </c>
      <c r="D16" s="2">
        <f t="shared" si="0"/>
        <v>0.56259999999999999</v>
      </c>
      <c r="E16" s="2">
        <f t="shared" si="3"/>
        <v>0.28129999999999999</v>
      </c>
      <c r="F16" s="5">
        <f t="shared" si="4"/>
        <v>0.24859383410400002</v>
      </c>
    </row>
    <row r="17" spans="1:6" ht="15" thickBot="1" x14ac:dyDescent="0.35">
      <c r="A17" s="19"/>
      <c r="B17" s="3">
        <v>4</v>
      </c>
      <c r="C17" s="3">
        <v>5.5209999999999999</v>
      </c>
      <c r="D17" s="3">
        <f t="shared" si="0"/>
        <v>0.55210000000000004</v>
      </c>
      <c r="E17" s="3">
        <f t="shared" si="3"/>
        <v>0.27605000000000002</v>
      </c>
      <c r="F17" s="6">
        <f t="shared" si="4"/>
        <v>0.23940123761400003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CC67-71B4-4924-A50E-5F3432362B10}">
  <dimension ref="A1:F17"/>
  <sheetViews>
    <sheetView zoomScale="130" zoomScaleNormal="130" workbookViewId="0">
      <selection activeCell="J14" sqref="J14"/>
    </sheetView>
  </sheetViews>
  <sheetFormatPr defaultRowHeight="14.4" x14ac:dyDescent="0.3"/>
  <cols>
    <col min="2" max="2" width="13.21875" bestFit="1" customWidth="1"/>
    <col min="3" max="3" width="11.6640625" bestFit="1" customWidth="1"/>
    <col min="4" max="4" width="11.109375" bestFit="1" customWidth="1"/>
  </cols>
  <sheetData>
    <row r="1" spans="1:6" ht="15" thickBot="1" x14ac:dyDescent="0.35">
      <c r="A1" s="15" t="s">
        <v>5</v>
      </c>
      <c r="B1" s="13" t="s">
        <v>0</v>
      </c>
      <c r="C1" s="13" t="s">
        <v>1</v>
      </c>
      <c r="D1" s="13" t="s">
        <v>2</v>
      </c>
      <c r="E1" s="13" t="s">
        <v>3</v>
      </c>
      <c r="F1" s="14" t="s">
        <v>4</v>
      </c>
    </row>
    <row r="2" spans="1:6" x14ac:dyDescent="0.3">
      <c r="A2" s="17" t="s">
        <v>6</v>
      </c>
      <c r="B2" s="1">
        <v>1</v>
      </c>
      <c r="C2" s="1">
        <v>5.048</v>
      </c>
      <c r="D2" s="1">
        <f>C2/10</f>
        <v>0.50480000000000003</v>
      </c>
      <c r="E2" s="1">
        <f>D2/2</f>
        <v>0.25240000000000001</v>
      </c>
      <c r="F2" s="4">
        <f>(E2)^2*3.1416</f>
        <v>0.200138015616</v>
      </c>
    </row>
    <row r="3" spans="1:6" x14ac:dyDescent="0.3">
      <c r="A3" s="18"/>
      <c r="B3" s="2">
        <v>2</v>
      </c>
      <c r="C3" s="2">
        <v>5.327</v>
      </c>
      <c r="D3" s="2">
        <f t="shared" ref="D3:D17" si="0">C3/10</f>
        <v>0.53269999999999995</v>
      </c>
      <c r="E3" s="2">
        <f t="shared" ref="E3:E17" si="1">D3/2</f>
        <v>0.26634999999999998</v>
      </c>
      <c r="F3" s="5">
        <f t="shared" ref="F3:F17" si="2">(E3)^2*3.1416</f>
        <v>0.22287240036599995</v>
      </c>
    </row>
    <row r="4" spans="1:6" x14ac:dyDescent="0.3">
      <c r="A4" s="18"/>
      <c r="B4" s="2">
        <v>3</v>
      </c>
      <c r="C4" s="2">
        <v>4.766</v>
      </c>
      <c r="D4" s="2">
        <f t="shared" si="0"/>
        <v>0.47660000000000002</v>
      </c>
      <c r="E4" s="2">
        <f t="shared" si="1"/>
        <v>0.23830000000000001</v>
      </c>
      <c r="F4" s="5">
        <f t="shared" si="2"/>
        <v>0.17840169362400002</v>
      </c>
    </row>
    <row r="5" spans="1:6" ht="15" thickBot="1" x14ac:dyDescent="0.35">
      <c r="A5" s="19"/>
      <c r="B5" s="3">
        <v>4</v>
      </c>
      <c r="C5" s="3">
        <v>4.9530000000000003</v>
      </c>
      <c r="D5" s="3">
        <f t="shared" si="0"/>
        <v>0.49530000000000002</v>
      </c>
      <c r="E5" s="3">
        <f t="shared" si="1"/>
        <v>0.24765000000000001</v>
      </c>
      <c r="F5" s="6">
        <f t="shared" si="2"/>
        <v>0.19267596948600002</v>
      </c>
    </row>
    <row r="6" spans="1:6" x14ac:dyDescent="0.3">
      <c r="A6" s="17" t="s">
        <v>13</v>
      </c>
      <c r="B6" s="1">
        <v>1</v>
      </c>
      <c r="C6" s="1">
        <v>7.0179999999999998</v>
      </c>
      <c r="D6" s="1">
        <f t="shared" si="0"/>
        <v>0.70179999999999998</v>
      </c>
      <c r="E6" s="1">
        <f t="shared" si="1"/>
        <v>0.35089999999999999</v>
      </c>
      <c r="F6" s="4">
        <f t="shared" si="2"/>
        <v>0.38682775269599995</v>
      </c>
    </row>
    <row r="7" spans="1:6" x14ac:dyDescent="0.3">
      <c r="A7" s="18"/>
      <c r="B7" s="2">
        <v>2</v>
      </c>
      <c r="C7" s="2">
        <v>7.5339999999999998</v>
      </c>
      <c r="D7" s="2">
        <f t="shared" si="0"/>
        <v>0.75339999999999996</v>
      </c>
      <c r="E7" s="2">
        <f t="shared" si="1"/>
        <v>0.37669999999999998</v>
      </c>
      <c r="F7" s="5">
        <f t="shared" si="2"/>
        <v>0.44580211922399993</v>
      </c>
    </row>
    <row r="8" spans="1:6" x14ac:dyDescent="0.3">
      <c r="A8" s="18"/>
      <c r="B8" s="2">
        <v>3</v>
      </c>
      <c r="C8" s="2">
        <v>7.2249999999999996</v>
      </c>
      <c r="D8" s="2">
        <f t="shared" si="0"/>
        <v>0.72249999999999992</v>
      </c>
      <c r="E8" s="2">
        <f t="shared" si="1"/>
        <v>0.36124999999999996</v>
      </c>
      <c r="F8" s="5">
        <f t="shared" si="2"/>
        <v>0.4099837087499999</v>
      </c>
    </row>
    <row r="9" spans="1:6" ht="15" thickBot="1" x14ac:dyDescent="0.35">
      <c r="A9" s="19"/>
      <c r="B9" s="3">
        <v>4</v>
      </c>
      <c r="C9" s="3">
        <v>6.3979999999999997</v>
      </c>
      <c r="D9" s="3">
        <f t="shared" si="0"/>
        <v>0.63979999999999992</v>
      </c>
      <c r="E9" s="3">
        <f t="shared" si="1"/>
        <v>0.31989999999999996</v>
      </c>
      <c r="F9" s="6">
        <f t="shared" si="2"/>
        <v>0.32149880901599992</v>
      </c>
    </row>
    <row r="10" spans="1:6" x14ac:dyDescent="0.3">
      <c r="A10" s="17" t="s">
        <v>14</v>
      </c>
      <c r="B10" s="1">
        <v>1</v>
      </c>
      <c r="C10" s="1">
        <v>8.1270000000000007</v>
      </c>
      <c r="D10" s="1">
        <f t="shared" si="0"/>
        <v>0.81270000000000009</v>
      </c>
      <c r="E10" s="1">
        <f t="shared" si="1"/>
        <v>0.40635000000000004</v>
      </c>
      <c r="F10" s="4">
        <f t="shared" si="2"/>
        <v>0.51874200516600011</v>
      </c>
    </row>
    <row r="11" spans="1:6" x14ac:dyDescent="0.3">
      <c r="A11" s="18"/>
      <c r="B11" s="2">
        <v>2</v>
      </c>
      <c r="C11" s="2">
        <v>6.875</v>
      </c>
      <c r="D11" s="2">
        <f t="shared" si="0"/>
        <v>0.6875</v>
      </c>
      <c r="E11" s="2">
        <f t="shared" si="1"/>
        <v>0.34375</v>
      </c>
      <c r="F11" s="5">
        <f t="shared" si="2"/>
        <v>0.37122421875</v>
      </c>
    </row>
    <row r="12" spans="1:6" x14ac:dyDescent="0.3">
      <c r="A12" s="18"/>
      <c r="B12" s="2">
        <v>3</v>
      </c>
      <c r="C12" s="2">
        <v>6.4059999999999997</v>
      </c>
      <c r="D12" s="2">
        <f t="shared" si="0"/>
        <v>0.64059999999999995</v>
      </c>
      <c r="E12" s="2">
        <f t="shared" si="1"/>
        <v>0.32029999999999997</v>
      </c>
      <c r="F12" s="5">
        <f t="shared" si="2"/>
        <v>0.32230330994399992</v>
      </c>
    </row>
    <row r="13" spans="1:6" ht="15" thickBot="1" x14ac:dyDescent="0.35">
      <c r="A13" s="19"/>
      <c r="B13" s="3">
        <v>4</v>
      </c>
      <c r="C13" s="3">
        <v>7.5019999999999998</v>
      </c>
      <c r="D13" s="3">
        <f t="shared" si="0"/>
        <v>0.75019999999999998</v>
      </c>
      <c r="E13" s="3">
        <f t="shared" si="1"/>
        <v>0.37509999999999999</v>
      </c>
      <c r="F13" s="6">
        <f t="shared" si="2"/>
        <v>0.44202315141599996</v>
      </c>
    </row>
    <row r="14" spans="1:6" x14ac:dyDescent="0.3">
      <c r="A14" s="17" t="s">
        <v>15</v>
      </c>
      <c r="B14" s="1">
        <v>1</v>
      </c>
      <c r="C14" s="1">
        <v>6.3490000000000002</v>
      </c>
      <c r="D14" s="1">
        <f t="shared" si="0"/>
        <v>0.63490000000000002</v>
      </c>
      <c r="E14" s="1">
        <f t="shared" si="1"/>
        <v>0.31745000000000001</v>
      </c>
      <c r="F14" s="4">
        <f t="shared" si="2"/>
        <v>0.31659317705399997</v>
      </c>
    </row>
    <row r="15" spans="1:6" x14ac:dyDescent="0.3">
      <c r="A15" s="18"/>
      <c r="B15" s="2">
        <v>2</v>
      </c>
      <c r="C15" s="2">
        <v>6.0350000000000001</v>
      </c>
      <c r="D15" s="2">
        <f t="shared" si="0"/>
        <v>0.60350000000000004</v>
      </c>
      <c r="E15" s="2">
        <f t="shared" si="1"/>
        <v>0.30175000000000002</v>
      </c>
      <c r="F15" s="5">
        <f t="shared" si="2"/>
        <v>0.28605230115000008</v>
      </c>
    </row>
    <row r="16" spans="1:6" x14ac:dyDescent="0.3">
      <c r="A16" s="18"/>
      <c r="B16" s="2">
        <v>3</v>
      </c>
      <c r="C16" s="2">
        <v>5.93</v>
      </c>
      <c r="D16" s="2">
        <f t="shared" si="0"/>
        <v>0.59299999999999997</v>
      </c>
      <c r="E16" s="2">
        <f t="shared" si="1"/>
        <v>0.29649999999999999</v>
      </c>
      <c r="F16" s="5">
        <f t="shared" si="2"/>
        <v>0.2761851246</v>
      </c>
    </row>
    <row r="17" spans="1:6" ht="15" thickBot="1" x14ac:dyDescent="0.35">
      <c r="A17" s="19"/>
      <c r="B17" s="3">
        <v>4</v>
      </c>
      <c r="C17" s="3">
        <v>6.1379999999999999</v>
      </c>
      <c r="D17" s="3">
        <f t="shared" si="0"/>
        <v>0.61380000000000001</v>
      </c>
      <c r="E17" s="3">
        <f t="shared" si="1"/>
        <v>0.30690000000000001</v>
      </c>
      <c r="F17" s="6">
        <f t="shared" si="2"/>
        <v>0.29589979557599999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DA6D-BCD5-4753-967E-019F70C10F34}">
  <dimension ref="A1:F17"/>
  <sheetViews>
    <sheetView zoomScale="130" zoomScaleNormal="130" workbookViewId="0">
      <selection activeCell="H25" sqref="H25"/>
    </sheetView>
  </sheetViews>
  <sheetFormatPr defaultRowHeight="14.4" x14ac:dyDescent="0.3"/>
  <cols>
    <col min="1" max="1" width="8.88671875" style="11"/>
    <col min="2" max="2" width="13.21875" bestFit="1" customWidth="1"/>
    <col min="3" max="3" width="11.6640625" bestFit="1" customWidth="1"/>
    <col min="4" max="4" width="11.109375" bestFit="1" customWidth="1"/>
  </cols>
  <sheetData>
    <row r="1" spans="1:6" ht="15" thickBot="1" x14ac:dyDescent="0.35">
      <c r="A1" s="16" t="s">
        <v>5</v>
      </c>
      <c r="B1" s="8" t="s">
        <v>0</v>
      </c>
      <c r="C1" s="8" t="s">
        <v>1</v>
      </c>
      <c r="D1" s="8" t="s">
        <v>2</v>
      </c>
      <c r="E1" s="8" t="s">
        <v>3</v>
      </c>
      <c r="F1" s="9" t="s">
        <v>4</v>
      </c>
    </row>
    <row r="2" spans="1:6" x14ac:dyDescent="0.3">
      <c r="A2" s="17" t="s">
        <v>6</v>
      </c>
      <c r="B2" s="1">
        <v>1</v>
      </c>
      <c r="C2" s="1">
        <v>6.2619999999999996</v>
      </c>
      <c r="D2" s="1">
        <f>C2/10</f>
        <v>0.62619999999999998</v>
      </c>
      <c r="E2" s="1">
        <f>D2/2</f>
        <v>0.31309999999999999</v>
      </c>
      <c r="F2" s="4">
        <f>(E2)^2*3.1416</f>
        <v>0.30797610597599995</v>
      </c>
    </row>
    <row r="3" spans="1:6" x14ac:dyDescent="0.3">
      <c r="A3" s="18"/>
      <c r="B3" s="2">
        <v>2</v>
      </c>
      <c r="C3" s="2">
        <v>5.702</v>
      </c>
      <c r="D3" s="2">
        <f t="shared" ref="D3:D17" si="0">C3/10</f>
        <v>0.57020000000000004</v>
      </c>
      <c r="E3" s="2">
        <f t="shared" ref="E3:E16" si="1">D3/2</f>
        <v>0.28510000000000002</v>
      </c>
      <c r="F3" s="5">
        <f t="shared" ref="F3:F17" si="2">(E3)^2*3.1416</f>
        <v>0.25535556261600006</v>
      </c>
    </row>
    <row r="4" spans="1:6" x14ac:dyDescent="0.3">
      <c r="A4" s="18"/>
      <c r="B4" s="2">
        <v>3</v>
      </c>
      <c r="C4" s="2">
        <v>5.6070000000000002</v>
      </c>
      <c r="D4" s="2">
        <f t="shared" si="0"/>
        <v>0.56069999999999998</v>
      </c>
      <c r="E4" s="2">
        <f t="shared" si="1"/>
        <v>0.28034999999999999</v>
      </c>
      <c r="F4" s="5">
        <f t="shared" si="2"/>
        <v>0.24691757844599996</v>
      </c>
    </row>
    <row r="5" spans="1:6" ht="15" thickBot="1" x14ac:dyDescent="0.35">
      <c r="A5" s="19"/>
      <c r="B5" s="3">
        <v>4</v>
      </c>
      <c r="C5" s="3">
        <v>5.327</v>
      </c>
      <c r="D5" s="3">
        <f t="shared" si="0"/>
        <v>0.53269999999999995</v>
      </c>
      <c r="E5" s="3">
        <f t="shared" si="1"/>
        <v>0.26634999999999998</v>
      </c>
      <c r="F5" s="6">
        <f t="shared" si="2"/>
        <v>0.22287240036599995</v>
      </c>
    </row>
    <row r="6" spans="1:6" x14ac:dyDescent="0.3">
      <c r="A6" s="17" t="s">
        <v>13</v>
      </c>
      <c r="B6" s="1">
        <v>1</v>
      </c>
      <c r="C6" s="1">
        <v>7.907</v>
      </c>
      <c r="D6" s="1">
        <f t="shared" si="0"/>
        <v>0.79069999999999996</v>
      </c>
      <c r="E6" s="1">
        <f t="shared" si="1"/>
        <v>0.39534999999999998</v>
      </c>
      <c r="F6" s="4">
        <f>(E6)^2*3.1416</f>
        <v>0.49103717724599993</v>
      </c>
    </row>
    <row r="7" spans="1:6" x14ac:dyDescent="0.3">
      <c r="A7" s="18"/>
      <c r="B7" s="2">
        <v>2</v>
      </c>
      <c r="C7" s="2">
        <v>7.6959999999999997</v>
      </c>
      <c r="D7" s="2">
        <f t="shared" si="0"/>
        <v>0.76959999999999995</v>
      </c>
      <c r="E7" s="2">
        <f t="shared" si="1"/>
        <v>0.38479999999999998</v>
      </c>
      <c r="F7" s="5">
        <f t="shared" si="2"/>
        <v>0.46517997926399995</v>
      </c>
    </row>
    <row r="8" spans="1:6" x14ac:dyDescent="0.3">
      <c r="A8" s="18"/>
      <c r="B8" s="2">
        <v>3</v>
      </c>
      <c r="C8" s="2">
        <v>8.0139999999999993</v>
      </c>
      <c r="D8" s="2">
        <f t="shared" si="0"/>
        <v>0.80139999999999989</v>
      </c>
      <c r="E8" s="2">
        <f t="shared" si="1"/>
        <v>0.40069999999999995</v>
      </c>
      <c r="F8" s="5">
        <f t="shared" si="2"/>
        <v>0.50441683538399984</v>
      </c>
    </row>
    <row r="9" spans="1:6" ht="15" thickBot="1" x14ac:dyDescent="0.35">
      <c r="A9" s="19"/>
      <c r="B9" s="3">
        <v>4</v>
      </c>
      <c r="C9" s="3">
        <v>8.3450000000000006</v>
      </c>
      <c r="D9" s="3">
        <f t="shared" si="0"/>
        <v>0.83450000000000002</v>
      </c>
      <c r="E9" s="3">
        <f t="shared" si="1"/>
        <v>0.41725000000000001</v>
      </c>
      <c r="F9" s="6">
        <f t="shared" si="2"/>
        <v>0.54694490234999993</v>
      </c>
    </row>
    <row r="10" spans="1:6" x14ac:dyDescent="0.3">
      <c r="A10" s="17" t="s">
        <v>14</v>
      </c>
      <c r="B10" s="1">
        <v>1</v>
      </c>
      <c r="C10" s="1">
        <v>7.8140000000000001</v>
      </c>
      <c r="D10" s="1">
        <f t="shared" si="0"/>
        <v>0.78139999999999998</v>
      </c>
      <c r="E10" s="1">
        <f t="shared" si="1"/>
        <v>0.39069999999999999</v>
      </c>
      <c r="F10" s="4">
        <f>(E10)^2*3.1416</f>
        <v>0.47955421298399997</v>
      </c>
    </row>
    <row r="11" spans="1:6" x14ac:dyDescent="0.3">
      <c r="A11" s="18"/>
      <c r="B11" s="2">
        <v>2</v>
      </c>
      <c r="C11" s="2">
        <v>7.6040000000000001</v>
      </c>
      <c r="D11" s="2">
        <f t="shared" si="0"/>
        <v>0.76039999999999996</v>
      </c>
      <c r="E11" s="2">
        <f t="shared" si="1"/>
        <v>0.38019999999999998</v>
      </c>
      <c r="F11" s="5">
        <f t="shared" si="2"/>
        <v>0.45412468886399998</v>
      </c>
    </row>
    <row r="12" spans="1:6" x14ac:dyDescent="0.3">
      <c r="A12" s="18"/>
      <c r="B12" s="2">
        <v>3</v>
      </c>
      <c r="C12" s="2">
        <v>7.8129999999999997</v>
      </c>
      <c r="D12" s="2">
        <f t="shared" si="0"/>
        <v>0.78129999999999999</v>
      </c>
      <c r="E12" s="2">
        <f t="shared" si="1"/>
        <v>0.39065</v>
      </c>
      <c r="F12" s="5">
        <f t="shared" si="2"/>
        <v>0.47943147852599999</v>
      </c>
    </row>
    <row r="13" spans="1:6" ht="15" thickBot="1" x14ac:dyDescent="0.35">
      <c r="A13" s="19"/>
      <c r="B13" s="3">
        <v>4</v>
      </c>
      <c r="C13" s="3">
        <v>7.6070000000000002</v>
      </c>
      <c r="D13" s="3">
        <f t="shared" si="0"/>
        <v>0.76070000000000004</v>
      </c>
      <c r="E13" s="3">
        <f t="shared" si="1"/>
        <v>0.38035000000000002</v>
      </c>
      <c r="F13" s="6">
        <f t="shared" si="2"/>
        <v>0.45448309044600005</v>
      </c>
    </row>
    <row r="14" spans="1:6" x14ac:dyDescent="0.3">
      <c r="A14" s="17" t="s">
        <v>12</v>
      </c>
      <c r="B14" s="1">
        <v>1</v>
      </c>
      <c r="C14" s="1">
        <v>6.2110000000000003</v>
      </c>
      <c r="D14" s="1">
        <f t="shared" si="0"/>
        <v>0.62109999999999999</v>
      </c>
      <c r="E14" s="1">
        <f t="shared" si="1"/>
        <v>0.31054999999999999</v>
      </c>
      <c r="F14" s="4">
        <f>(E14)^2*3.1416</f>
        <v>0.30297999593399999</v>
      </c>
    </row>
    <row r="15" spans="1:6" x14ac:dyDescent="0.3">
      <c r="A15" s="18"/>
      <c r="B15" s="2">
        <v>2</v>
      </c>
      <c r="C15" s="2">
        <v>5.8949999999999996</v>
      </c>
      <c r="D15" s="2">
        <f t="shared" si="0"/>
        <v>0.58949999999999991</v>
      </c>
      <c r="E15" s="2">
        <f t="shared" si="1"/>
        <v>0.29474999999999996</v>
      </c>
      <c r="F15" s="5">
        <f t="shared" si="2"/>
        <v>0.27293455034999992</v>
      </c>
    </row>
    <row r="16" spans="1:6" x14ac:dyDescent="0.3">
      <c r="A16" s="18"/>
      <c r="B16" s="2">
        <v>3</v>
      </c>
      <c r="C16" s="2">
        <v>7.0529999999999999</v>
      </c>
      <c r="D16" s="2">
        <f t="shared" si="0"/>
        <v>0.70530000000000004</v>
      </c>
      <c r="E16" s="2">
        <f t="shared" si="1"/>
        <v>0.35265000000000002</v>
      </c>
      <c r="F16" s="5">
        <f t="shared" si="2"/>
        <v>0.39069572988600004</v>
      </c>
    </row>
    <row r="17" spans="1:6" ht="15" thickBot="1" x14ac:dyDescent="0.35">
      <c r="A17" s="19"/>
      <c r="B17" s="3">
        <v>4</v>
      </c>
      <c r="C17" s="3">
        <v>6.4210000000000003</v>
      </c>
      <c r="D17" s="3">
        <f t="shared" si="0"/>
        <v>0.6421</v>
      </c>
      <c r="E17" s="3">
        <f>D17/2</f>
        <v>0.32105</v>
      </c>
      <c r="F17" s="6">
        <f t="shared" si="2"/>
        <v>0.32381445881400001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CA40-1692-4232-A08F-D36DEF96F81D}">
  <dimension ref="A1:F17"/>
  <sheetViews>
    <sheetView workbookViewId="0">
      <selection activeCell="B28" sqref="B28"/>
    </sheetView>
  </sheetViews>
  <sheetFormatPr defaultRowHeight="14.4" x14ac:dyDescent="0.3"/>
  <cols>
    <col min="1" max="1" width="8.88671875" style="11"/>
    <col min="2" max="2" width="13.21875" bestFit="1" customWidth="1"/>
    <col min="3" max="3" width="11.6640625" bestFit="1" customWidth="1"/>
    <col min="4" max="4" width="11.109375" bestFit="1" customWidth="1"/>
  </cols>
  <sheetData>
    <row r="1" spans="1:6" ht="15" thickBot="1" x14ac:dyDescent="0.35">
      <c r="A1" s="11" t="s">
        <v>5</v>
      </c>
      <c r="B1" s="8" t="s">
        <v>0</v>
      </c>
      <c r="C1" s="8" t="s">
        <v>1</v>
      </c>
      <c r="D1" s="8" t="s">
        <v>2</v>
      </c>
      <c r="E1" s="8" t="s">
        <v>3</v>
      </c>
      <c r="F1" s="9" t="s">
        <v>4</v>
      </c>
    </row>
    <row r="2" spans="1:6" x14ac:dyDescent="0.3">
      <c r="A2" s="17" t="s">
        <v>6</v>
      </c>
      <c r="B2" s="1">
        <v>1</v>
      </c>
      <c r="C2" s="1">
        <v>5.7009999999999996</v>
      </c>
      <c r="D2" s="1">
        <f>C2/10</f>
        <v>0.57009999999999994</v>
      </c>
      <c r="E2" s="1">
        <f>D2/2</f>
        <v>0.28504999999999997</v>
      </c>
      <c r="F2" s="4">
        <f>(E2)^2*3.1416</f>
        <v>0.25526600345399991</v>
      </c>
    </row>
    <row r="3" spans="1:6" x14ac:dyDescent="0.3">
      <c r="A3" s="18"/>
      <c r="B3" s="2">
        <v>2</v>
      </c>
      <c r="C3" s="2">
        <v>5.8890000000000002</v>
      </c>
      <c r="D3" s="2">
        <f t="shared" ref="D3:D17" si="0">C3/10</f>
        <v>0.58889999999999998</v>
      </c>
      <c r="E3" s="2">
        <f t="shared" ref="E3:E17" si="1">D3/2</f>
        <v>0.29444999999999999</v>
      </c>
      <c r="F3" s="5">
        <f t="shared" ref="F3:F17" si="2">(E3)^2*3.1416</f>
        <v>0.27237924113399997</v>
      </c>
    </row>
    <row r="4" spans="1:6" x14ac:dyDescent="0.3">
      <c r="A4" s="18"/>
      <c r="B4" s="2">
        <v>3</v>
      </c>
      <c r="C4" s="2">
        <v>5.4210000000000003</v>
      </c>
      <c r="D4" s="2">
        <f t="shared" si="0"/>
        <v>0.54210000000000003</v>
      </c>
      <c r="E4" s="2">
        <f t="shared" si="1"/>
        <v>0.27105000000000001</v>
      </c>
      <c r="F4" s="5">
        <f t="shared" si="2"/>
        <v>0.23080739081400001</v>
      </c>
    </row>
    <row r="5" spans="1:6" ht="15" thickBot="1" x14ac:dyDescent="0.35">
      <c r="A5" s="19"/>
      <c r="B5" s="3">
        <v>4</v>
      </c>
      <c r="C5" s="3">
        <v>5.234</v>
      </c>
      <c r="D5" s="3">
        <f t="shared" si="0"/>
        <v>0.52339999999999998</v>
      </c>
      <c r="E5" s="3">
        <f t="shared" si="1"/>
        <v>0.26169999999999999</v>
      </c>
      <c r="F5" s="6">
        <f t="shared" si="2"/>
        <v>0.21515841362399998</v>
      </c>
    </row>
    <row r="6" spans="1:6" x14ac:dyDescent="0.3">
      <c r="A6" s="17" t="s">
        <v>13</v>
      </c>
      <c r="B6" s="1">
        <v>1</v>
      </c>
      <c r="C6" s="1">
        <v>5.7939999999999996</v>
      </c>
      <c r="D6" s="1">
        <f t="shared" si="0"/>
        <v>0.57939999999999992</v>
      </c>
      <c r="E6" s="1">
        <f t="shared" si="1"/>
        <v>0.28969999999999996</v>
      </c>
      <c r="F6" s="4">
        <f t="shared" si="2"/>
        <v>0.26366220434399995</v>
      </c>
    </row>
    <row r="7" spans="1:6" x14ac:dyDescent="0.3">
      <c r="A7" s="18"/>
      <c r="B7" s="2">
        <v>2</v>
      </c>
      <c r="C7" s="2">
        <v>5.8890000000000002</v>
      </c>
      <c r="D7" s="2">
        <f t="shared" si="0"/>
        <v>0.58889999999999998</v>
      </c>
      <c r="E7" s="2">
        <f t="shared" si="1"/>
        <v>0.29444999999999999</v>
      </c>
      <c r="F7" s="5">
        <f t="shared" si="2"/>
        <v>0.27237924113399997</v>
      </c>
    </row>
    <row r="8" spans="1:6" x14ac:dyDescent="0.3">
      <c r="A8" s="18"/>
      <c r="B8" s="2">
        <v>3</v>
      </c>
      <c r="C8" s="2">
        <v>5.4210000000000003</v>
      </c>
      <c r="D8" s="2">
        <f t="shared" si="0"/>
        <v>0.54210000000000003</v>
      </c>
      <c r="E8" s="2">
        <f t="shared" si="1"/>
        <v>0.27105000000000001</v>
      </c>
      <c r="F8" s="5">
        <f t="shared" si="2"/>
        <v>0.23080739081400001</v>
      </c>
    </row>
    <row r="9" spans="1:6" ht="15" thickBot="1" x14ac:dyDescent="0.35">
      <c r="A9" s="19"/>
      <c r="B9" s="3">
        <v>4</v>
      </c>
      <c r="C9" s="3">
        <v>5.6070000000000002</v>
      </c>
      <c r="D9" s="3">
        <f t="shared" si="0"/>
        <v>0.56069999999999998</v>
      </c>
      <c r="E9" s="3">
        <f t="shared" si="1"/>
        <v>0.28034999999999999</v>
      </c>
      <c r="F9" s="6">
        <f t="shared" si="2"/>
        <v>0.24691757844599996</v>
      </c>
    </row>
    <row r="10" spans="1:6" x14ac:dyDescent="0.3">
      <c r="A10" s="17" t="s">
        <v>11</v>
      </c>
      <c r="B10" s="1">
        <v>1</v>
      </c>
      <c r="C10" s="1">
        <v>5.875</v>
      </c>
      <c r="D10" s="1">
        <f t="shared" si="0"/>
        <v>0.58750000000000002</v>
      </c>
      <c r="E10" s="1">
        <f t="shared" si="1"/>
        <v>0.29375000000000001</v>
      </c>
      <c r="F10" s="4">
        <f t="shared" si="2"/>
        <v>0.27108571875000004</v>
      </c>
    </row>
    <row r="11" spans="1:6" x14ac:dyDescent="0.3">
      <c r="A11" s="18"/>
      <c r="B11" s="2">
        <v>2</v>
      </c>
      <c r="C11" s="2">
        <v>6.2439999999999998</v>
      </c>
      <c r="D11" s="2">
        <f t="shared" si="0"/>
        <v>0.62439999999999996</v>
      </c>
      <c r="E11" s="2">
        <f t="shared" si="1"/>
        <v>0.31219999999999998</v>
      </c>
      <c r="F11" s="5">
        <f t="shared" si="2"/>
        <v>0.30620810774399998</v>
      </c>
    </row>
    <row r="12" spans="1:6" x14ac:dyDescent="0.3">
      <c r="A12" s="18"/>
      <c r="B12" s="2">
        <v>3</v>
      </c>
      <c r="C12" s="2">
        <v>5.8209999999999997</v>
      </c>
      <c r="D12" s="2">
        <f t="shared" si="0"/>
        <v>0.58209999999999995</v>
      </c>
      <c r="E12" s="2">
        <f t="shared" si="1"/>
        <v>0.29104999999999998</v>
      </c>
      <c r="F12" s="5">
        <f t="shared" si="2"/>
        <v>0.26612525801399994</v>
      </c>
    </row>
    <row r="13" spans="1:6" ht="15" thickBot="1" x14ac:dyDescent="0.35">
      <c r="A13" s="19"/>
      <c r="B13" s="3">
        <v>4</v>
      </c>
      <c r="C13" s="3">
        <v>6.032</v>
      </c>
      <c r="D13" s="3">
        <f t="shared" si="0"/>
        <v>0.60319999999999996</v>
      </c>
      <c r="E13" s="3">
        <f t="shared" si="1"/>
        <v>0.30159999999999998</v>
      </c>
      <c r="F13" s="6">
        <f t="shared" si="2"/>
        <v>0.28576797849599994</v>
      </c>
    </row>
    <row r="14" spans="1:6" x14ac:dyDescent="0.3">
      <c r="A14" s="20" t="s">
        <v>12</v>
      </c>
      <c r="B14" s="7">
        <v>1</v>
      </c>
      <c r="C14" s="7">
        <v>6.5620000000000003</v>
      </c>
      <c r="D14" s="7">
        <f t="shared" si="0"/>
        <v>0.65620000000000001</v>
      </c>
      <c r="E14" s="7">
        <f t="shared" si="1"/>
        <v>0.3281</v>
      </c>
      <c r="F14" s="10">
        <f t="shared" si="2"/>
        <v>0.33819201477600003</v>
      </c>
    </row>
    <row r="15" spans="1:6" x14ac:dyDescent="0.3">
      <c r="A15" s="18"/>
      <c r="B15" s="2">
        <v>2</v>
      </c>
      <c r="C15" s="2">
        <v>5.7329999999999997</v>
      </c>
      <c r="D15" s="2">
        <f t="shared" si="0"/>
        <v>0.57329999999999992</v>
      </c>
      <c r="E15" s="2">
        <f t="shared" si="1"/>
        <v>0.28664999999999996</v>
      </c>
      <c r="F15" s="5">
        <f t="shared" si="2"/>
        <v>0.25813968780599988</v>
      </c>
    </row>
    <row r="16" spans="1:6" x14ac:dyDescent="0.3">
      <c r="A16" s="18"/>
      <c r="B16" s="2">
        <v>3</v>
      </c>
      <c r="C16" s="2">
        <v>6.5629999999999997</v>
      </c>
      <c r="D16" s="2">
        <f t="shared" si="0"/>
        <v>0.65629999999999999</v>
      </c>
      <c r="E16" s="2">
        <f t="shared" si="1"/>
        <v>0.32815</v>
      </c>
      <c r="F16" s="5">
        <f t="shared" si="2"/>
        <v>0.33829509852599998</v>
      </c>
    </row>
    <row r="17" spans="1:6" ht="15" thickBot="1" x14ac:dyDescent="0.35">
      <c r="A17" s="19"/>
      <c r="B17" s="3">
        <v>4</v>
      </c>
      <c r="C17" s="3">
        <v>6.1459999999999999</v>
      </c>
      <c r="D17" s="3">
        <f t="shared" si="0"/>
        <v>0.61460000000000004</v>
      </c>
      <c r="E17" s="3">
        <f t="shared" si="1"/>
        <v>0.30730000000000002</v>
      </c>
      <c r="F17" s="6">
        <f t="shared" si="2"/>
        <v>0.29667162386400003</v>
      </c>
    </row>
  </sheetData>
  <mergeCells count="4">
    <mergeCell ref="A10:A13"/>
    <mergeCell ref="A14:A17"/>
    <mergeCell ref="A6:A9"/>
    <mergeCell ref="A2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Cel_0.25M_washed</vt:lpstr>
      <vt:lpstr>Cel_0.25M_Nonwashed</vt:lpstr>
      <vt:lpstr>Cel_0.5M_washed</vt:lpstr>
      <vt:lpstr>Cel_0.5M_Nonwashed</vt:lpstr>
      <vt:lpstr>Cel_1M_washed</vt:lpstr>
      <vt:lpstr>Cel_1M_Nonwashed</vt:lpstr>
      <vt:lpstr>Cel_YPD_control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Amairani Chávez Vega</dc:creator>
  <cp:lastModifiedBy>Amairani Chávez Vega</cp:lastModifiedBy>
  <dcterms:created xsi:type="dcterms:W3CDTF">2026-02-20T22:59:15Z</dcterms:created>
  <dcterms:modified xsi:type="dcterms:W3CDTF">2026-03-12T04:12:53Z</dcterms:modified>
</cp:coreProperties>
</file>