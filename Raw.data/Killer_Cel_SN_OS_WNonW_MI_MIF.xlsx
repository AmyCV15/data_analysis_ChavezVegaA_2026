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8bc7375c24142f/UAQ/SaldañaWork/Artículo 2024/Chavez-VegaA.2026/Raw.data/"/>
    </mc:Choice>
  </mc:AlternateContent>
  <xr:revisionPtr revIDLastSave="128" documentId="8_{5831EFEB-E164-474D-B47A-5E9D5CC05BB2}" xr6:coauthVersionLast="47" xr6:coauthVersionMax="47" xr10:uidLastSave="{98520F60-0F29-4468-8532-9422DD88A7B0}"/>
  <bookViews>
    <workbookView xWindow="-108" yWindow="-108" windowWidth="23256" windowHeight="14616" firstSheet="2" activeTab="5" xr2:uid="{37BB5D64-CEC9-40E2-9866-13D13A794213}"/>
  </bookViews>
  <sheets>
    <sheet name="Cel_MI_1M_washed" sheetId="1" r:id="rId1"/>
    <sheet name="Cel_MI_1M_Nonwashed" sheetId="2" r:id="rId2"/>
    <sheet name="Cel_MIF_1M_washed" sheetId="4" r:id="rId3"/>
    <sheet name="Cel_MIF_1M_Nonwashed" sheetId="3" r:id="rId4"/>
    <sheet name="SN_MIF_1M_washed" sheetId="7" r:id="rId5"/>
    <sheet name="SN_MIF_1M_Nonwashed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0" l="1"/>
  <c r="F2" i="7"/>
  <c r="D17" i="7"/>
  <c r="E17" i="7" s="1"/>
  <c r="F17" i="7" s="1"/>
  <c r="D16" i="7"/>
  <c r="E16" i="7" s="1"/>
  <c r="F16" i="7" s="1"/>
  <c r="D15" i="7"/>
  <c r="E15" i="7" s="1"/>
  <c r="F15" i="7" s="1"/>
  <c r="D14" i="7"/>
  <c r="E14" i="7" s="1"/>
  <c r="F14" i="7" s="1"/>
  <c r="D13" i="7"/>
  <c r="E13" i="7" s="1"/>
  <c r="F13" i="7" s="1"/>
  <c r="D12" i="7"/>
  <c r="E12" i="7" s="1"/>
  <c r="F12" i="7" s="1"/>
  <c r="D11" i="7"/>
  <c r="E11" i="7" s="1"/>
  <c r="F11" i="7" s="1"/>
  <c r="D10" i="7"/>
  <c r="E10" i="7" s="1"/>
  <c r="F10" i="7" s="1"/>
  <c r="D9" i="7"/>
  <c r="E9" i="7" s="1"/>
  <c r="F9" i="7" s="1"/>
  <c r="E8" i="7"/>
  <c r="F8" i="7" s="1"/>
  <c r="D8" i="7"/>
  <c r="D7" i="7"/>
  <c r="E7" i="7" s="1"/>
  <c r="F7" i="7" s="1"/>
  <c r="D6" i="7"/>
  <c r="E6" i="7" s="1"/>
  <c r="F6" i="7" s="1"/>
  <c r="D5" i="7"/>
  <c r="E5" i="7" s="1"/>
  <c r="F5" i="7" s="1"/>
  <c r="D4" i="7"/>
  <c r="E4" i="7" s="1"/>
  <c r="F4" i="7" s="1"/>
  <c r="D3" i="7"/>
  <c r="E3" i="7" s="1"/>
  <c r="F3" i="7" s="1"/>
  <c r="D2" i="7"/>
  <c r="E2" i="7" s="1"/>
  <c r="F2" i="3"/>
  <c r="F2" i="4"/>
  <c r="F2" i="2"/>
  <c r="F2" i="1"/>
  <c r="F17" i="10"/>
  <c r="D17" i="10" l="1"/>
  <c r="E17" i="10" s="1"/>
  <c r="E16" i="10"/>
  <c r="F16" i="10" s="1"/>
  <c r="D16" i="10"/>
  <c r="D15" i="10"/>
  <c r="E15" i="10" s="1"/>
  <c r="F15" i="10" s="1"/>
  <c r="D14" i="10"/>
  <c r="E14" i="10" s="1"/>
  <c r="F14" i="10" s="1"/>
  <c r="E13" i="10"/>
  <c r="F13" i="10" s="1"/>
  <c r="D13" i="10"/>
  <c r="E12" i="10"/>
  <c r="F12" i="10" s="1"/>
  <c r="D12" i="10"/>
  <c r="D11" i="10"/>
  <c r="E11" i="10" s="1"/>
  <c r="F11" i="10" s="1"/>
  <c r="E10" i="10"/>
  <c r="F10" i="10" s="1"/>
  <c r="D10" i="10"/>
  <c r="D9" i="10"/>
  <c r="E9" i="10" s="1"/>
  <c r="F9" i="10" s="1"/>
  <c r="F8" i="10"/>
  <c r="E8" i="10"/>
  <c r="D8" i="10"/>
  <c r="D7" i="10"/>
  <c r="E7" i="10" s="1"/>
  <c r="F7" i="10" s="1"/>
  <c r="D6" i="10"/>
  <c r="E6" i="10" s="1"/>
  <c r="F6" i="10" s="1"/>
  <c r="D5" i="10"/>
  <c r="E5" i="10" s="1"/>
  <c r="F5" i="10" s="1"/>
  <c r="D4" i="10"/>
  <c r="E4" i="10" s="1"/>
  <c r="F4" i="10" s="1"/>
  <c r="D3" i="10"/>
  <c r="E3" i="10" s="1"/>
  <c r="F3" i="10" s="1"/>
  <c r="E2" i="10"/>
  <c r="D2" i="10"/>
  <c r="D17" i="3"/>
  <c r="E17" i="3" s="1"/>
  <c r="F17" i="3" s="1"/>
  <c r="D16" i="3"/>
  <c r="E16" i="3" s="1"/>
  <c r="F16" i="3" s="1"/>
  <c r="D15" i="3"/>
  <c r="E15" i="3" s="1"/>
  <c r="F15" i="3" s="1"/>
  <c r="D14" i="3"/>
  <c r="E14" i="3" s="1"/>
  <c r="F14" i="3" s="1"/>
  <c r="E13" i="3"/>
  <c r="F13" i="3" s="1"/>
  <c r="D13" i="3"/>
  <c r="E12" i="3"/>
  <c r="F12" i="3" s="1"/>
  <c r="D12" i="3"/>
  <c r="D11" i="3"/>
  <c r="E11" i="3" s="1"/>
  <c r="F11" i="3" s="1"/>
  <c r="D10" i="3"/>
  <c r="E10" i="3" s="1"/>
  <c r="F10" i="3" s="1"/>
  <c r="D9" i="3"/>
  <c r="E9" i="3" s="1"/>
  <c r="F9" i="3" s="1"/>
  <c r="D8" i="3"/>
  <c r="E8" i="3" s="1"/>
  <c r="F8" i="3" s="1"/>
  <c r="D7" i="3"/>
  <c r="E7" i="3" s="1"/>
  <c r="F7" i="3" s="1"/>
  <c r="D6" i="3"/>
  <c r="E6" i="3" s="1"/>
  <c r="F6" i="3" s="1"/>
  <c r="D5" i="3"/>
  <c r="E5" i="3" s="1"/>
  <c r="F5" i="3" s="1"/>
  <c r="D4" i="3"/>
  <c r="E4" i="3" s="1"/>
  <c r="F4" i="3" s="1"/>
  <c r="D3" i="3"/>
  <c r="E3" i="3" s="1"/>
  <c r="F3" i="3" s="1"/>
  <c r="D2" i="3"/>
  <c r="E2" i="3" s="1"/>
  <c r="D17" i="4"/>
  <c r="E17" i="4" s="1"/>
  <c r="F17" i="4" s="1"/>
  <c r="D16" i="4"/>
  <c r="E16" i="4" s="1"/>
  <c r="F16" i="4" s="1"/>
  <c r="D15" i="4"/>
  <c r="E15" i="4" s="1"/>
  <c r="F15" i="4" s="1"/>
  <c r="D14" i="4"/>
  <c r="E14" i="4" s="1"/>
  <c r="F14" i="4" s="1"/>
  <c r="E13" i="4"/>
  <c r="F13" i="4" s="1"/>
  <c r="D13" i="4"/>
  <c r="D12" i="4"/>
  <c r="E12" i="4" s="1"/>
  <c r="F12" i="4" s="1"/>
  <c r="D11" i="4"/>
  <c r="E11" i="4" s="1"/>
  <c r="F11" i="4" s="1"/>
  <c r="D10" i="4"/>
  <c r="E10" i="4" s="1"/>
  <c r="F10" i="4" s="1"/>
  <c r="D9" i="4"/>
  <c r="E9" i="4" s="1"/>
  <c r="F9" i="4" s="1"/>
  <c r="D8" i="4"/>
  <c r="E8" i="4" s="1"/>
  <c r="F8" i="4" s="1"/>
  <c r="E7" i="4"/>
  <c r="F7" i="4" s="1"/>
  <c r="D7" i="4"/>
  <c r="E6" i="4"/>
  <c r="F6" i="4" s="1"/>
  <c r="D6" i="4"/>
  <c r="D5" i="4"/>
  <c r="E5" i="4" s="1"/>
  <c r="F5" i="4" s="1"/>
  <c r="D4" i="4"/>
  <c r="E4" i="4" s="1"/>
  <c r="F4" i="4" s="1"/>
  <c r="E3" i="4"/>
  <c r="F3" i="4" s="1"/>
  <c r="D3" i="4"/>
  <c r="D2" i="4"/>
  <c r="E2" i="4" s="1"/>
  <c r="D2" i="1"/>
  <c r="E2" i="1"/>
  <c r="D3" i="1"/>
  <c r="E3" i="1"/>
  <c r="F3" i="1"/>
  <c r="D4" i="1"/>
  <c r="E4" i="1"/>
  <c r="F4" i="1"/>
  <c r="D5" i="1"/>
  <c r="E5" i="1" s="1"/>
  <c r="F5" i="1" s="1"/>
  <c r="D6" i="1"/>
  <c r="E6" i="1"/>
  <c r="F6" i="1" s="1"/>
  <c r="D7" i="1"/>
  <c r="E7" i="1" s="1"/>
  <c r="F7" i="1" s="1"/>
  <c r="D8" i="1"/>
  <c r="E8" i="1"/>
  <c r="F8" i="1" s="1"/>
  <c r="D9" i="1"/>
  <c r="E9" i="1"/>
  <c r="F9" i="1"/>
  <c r="D10" i="1"/>
  <c r="E10" i="1"/>
  <c r="F10" i="1"/>
  <c r="D11" i="1"/>
  <c r="E11" i="1" s="1"/>
  <c r="F11" i="1" s="1"/>
  <c r="D12" i="1"/>
  <c r="E12" i="1"/>
  <c r="F12" i="1"/>
  <c r="D13" i="1"/>
  <c r="E13" i="1" s="1"/>
  <c r="F13" i="1" s="1"/>
  <c r="D14" i="1"/>
  <c r="E14" i="1"/>
  <c r="F14" i="1" s="1"/>
  <c r="D15" i="1"/>
  <c r="E15" i="1"/>
  <c r="F15" i="1"/>
  <c r="D16" i="1"/>
  <c r="E16" i="1"/>
  <c r="F16" i="1" s="1"/>
  <c r="D17" i="1"/>
  <c r="E17" i="1"/>
  <c r="F17" i="1"/>
  <c r="D2" i="2"/>
  <c r="E2" i="2" s="1"/>
  <c r="D3" i="2"/>
  <c r="E3" i="2" s="1"/>
  <c r="F3" i="2" s="1"/>
  <c r="D4" i="2"/>
  <c r="E4" i="2"/>
  <c r="F4" i="2"/>
  <c r="D5" i="2"/>
  <c r="E5" i="2"/>
  <c r="F5" i="2"/>
  <c r="D6" i="2"/>
  <c r="E6" i="2"/>
  <c r="F6" i="2" s="1"/>
  <c r="D7" i="2"/>
  <c r="E7" i="2" s="1"/>
  <c r="F7" i="2" s="1"/>
  <c r="D8" i="2"/>
  <c r="E8" i="2"/>
  <c r="F8" i="2" s="1"/>
  <c r="D9" i="2"/>
  <c r="E9" i="2"/>
  <c r="F9" i="2" s="1"/>
  <c r="D10" i="2"/>
  <c r="E10" i="2"/>
  <c r="F10" i="2"/>
  <c r="D11" i="2"/>
  <c r="E11" i="2" s="1"/>
  <c r="F11" i="2" s="1"/>
  <c r="D12" i="2"/>
  <c r="E12" i="2"/>
  <c r="F12" i="2" s="1"/>
  <c r="D13" i="2"/>
  <c r="E13" i="2" s="1"/>
  <c r="F13" i="2" s="1"/>
  <c r="D14" i="2"/>
  <c r="E14" i="2" s="1"/>
  <c r="F14" i="2" s="1"/>
  <c r="D15" i="2"/>
  <c r="E15" i="2"/>
  <c r="F15" i="2"/>
  <c r="D16" i="2"/>
  <c r="E16" i="2" s="1"/>
  <c r="F16" i="2" s="1"/>
  <c r="D17" i="2"/>
  <c r="E17" i="2" s="1"/>
  <c r="F17" i="2" s="1"/>
</calcChain>
</file>

<file path=xl/sharedStrings.xml><?xml version="1.0" encoding="utf-8"?>
<sst xmlns="http://schemas.openxmlformats.org/spreadsheetml/2006/main" count="60" uniqueCount="12">
  <si>
    <t>pseudo-replica</t>
  </si>
  <si>
    <t>diameter mm</t>
  </si>
  <si>
    <t>diameter cm</t>
  </si>
  <si>
    <t>radius</t>
  </si>
  <si>
    <t>area</t>
  </si>
  <si>
    <t>N/ID_lab</t>
  </si>
  <si>
    <t>1/2</t>
  </si>
  <si>
    <t>2/3</t>
  </si>
  <si>
    <t>3/4</t>
  </si>
  <si>
    <t>4/5</t>
  </si>
  <si>
    <t>3/6</t>
  </si>
  <si>
    <t>4/7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</si>
</sst>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5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49" fontId="0" fillId="0" borderId="13" xfId="0" applyNumberFormat="1" applyBorder="1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CC200-CDFB-4BFB-B597-AEA6EB64936B}">
  <dimension ref="A1:F17"/>
  <sheetViews>
    <sheetView workbookViewId="0">
      <selection activeCell="F3" sqref="F3"/>
    </sheetView>
  </sheetViews>
  <sheetFormatPr defaultRowHeight="14.4" x14ac:dyDescent="0.3"/>
  <cols>
    <col min="2" max="2" width="13.21875" bestFit="1" customWidth="1"/>
    <col min="3" max="3" width="11.6640625" bestFit="1" customWidth="1"/>
    <col min="4" max="4" width="11.109375" bestFit="1" customWidth="1"/>
  </cols>
  <sheetData>
    <row r="1" spans="1:6" ht="15" thickBot="1" x14ac:dyDescent="0.35">
      <c r="A1" s="7" t="s">
        <v>5</v>
      </c>
      <c r="B1" s="8" t="s">
        <v>0</v>
      </c>
      <c r="C1" s="8" t="s">
        <v>1</v>
      </c>
      <c r="D1" s="8" t="s">
        <v>2</v>
      </c>
      <c r="E1" s="8" t="s">
        <v>3</v>
      </c>
      <c r="F1" s="9" t="s">
        <v>4</v>
      </c>
    </row>
    <row r="2" spans="1:6" x14ac:dyDescent="0.3">
      <c r="A2" s="12" t="s">
        <v>6</v>
      </c>
      <c r="B2" s="2">
        <v>1</v>
      </c>
      <c r="C2" s="2">
        <v>7.3940000000000001</v>
      </c>
      <c r="D2" s="2">
        <f t="shared" ref="D2:D17" si="0">C2/10</f>
        <v>0.73940000000000006</v>
      </c>
      <c r="E2" s="2">
        <f t="shared" ref="E2:E17" si="1">D2/2</f>
        <v>0.36970000000000003</v>
      </c>
      <c r="F2" s="3">
        <f>(E2)^2*3.1416</f>
        <v>0.42938788754400009</v>
      </c>
    </row>
    <row r="3" spans="1:6" x14ac:dyDescent="0.3">
      <c r="A3" s="13"/>
      <c r="B3" s="1">
        <v>2</v>
      </c>
      <c r="C3" s="1">
        <v>7.4980000000000002</v>
      </c>
      <c r="D3" s="1">
        <f t="shared" si="0"/>
        <v>0.74980000000000002</v>
      </c>
      <c r="E3" s="1">
        <f t="shared" si="1"/>
        <v>0.37490000000000001</v>
      </c>
      <c r="F3" s="4">
        <f t="shared" ref="F3:F5" si="2">(E3)^2*3.1416</f>
        <v>0.44155191141599998</v>
      </c>
    </row>
    <row r="4" spans="1:6" x14ac:dyDescent="0.3">
      <c r="A4" s="13"/>
      <c r="B4" s="1">
        <v>3</v>
      </c>
      <c r="C4" s="1">
        <v>8.1219999999999999</v>
      </c>
      <c r="D4" s="1">
        <f t="shared" si="0"/>
        <v>0.81220000000000003</v>
      </c>
      <c r="E4" s="1">
        <f t="shared" si="1"/>
        <v>0.40610000000000002</v>
      </c>
      <c r="F4" s="4">
        <f t="shared" si="2"/>
        <v>0.51810390693600006</v>
      </c>
    </row>
    <row r="5" spans="1:6" ht="15" thickBot="1" x14ac:dyDescent="0.35">
      <c r="A5" s="14"/>
      <c r="B5" s="5">
        <v>4</v>
      </c>
      <c r="C5" s="5">
        <v>7.81</v>
      </c>
      <c r="D5" s="5">
        <f>C5/10</f>
        <v>0.78099999999999992</v>
      </c>
      <c r="E5" s="5">
        <f t="shared" si="1"/>
        <v>0.39049999999999996</v>
      </c>
      <c r="F5" s="6">
        <f t="shared" si="2"/>
        <v>0.47906336939999988</v>
      </c>
    </row>
    <row r="6" spans="1:6" x14ac:dyDescent="0.3">
      <c r="A6" s="12" t="s">
        <v>7</v>
      </c>
      <c r="B6" s="2">
        <v>1</v>
      </c>
      <c r="C6" s="2">
        <v>8.43</v>
      </c>
      <c r="D6" s="2">
        <f>C6/10</f>
        <v>0.84299999999999997</v>
      </c>
      <c r="E6" s="2">
        <f>D6/2</f>
        <v>0.42149999999999999</v>
      </c>
      <c r="F6" s="3">
        <f>(E6)^2*3.1416</f>
        <v>0.55814372459999995</v>
      </c>
    </row>
    <row r="7" spans="1:6" x14ac:dyDescent="0.3">
      <c r="A7" s="13"/>
      <c r="B7" s="1">
        <v>2</v>
      </c>
      <c r="C7" s="1">
        <v>8.6280000000000001</v>
      </c>
      <c r="D7" s="1">
        <f>C7/10</f>
        <v>0.86280000000000001</v>
      </c>
      <c r="E7" s="1">
        <f>D7/2</f>
        <v>0.43140000000000001</v>
      </c>
      <c r="F7" s="4">
        <f>(E7)^2*3.1416</f>
        <v>0.58467048393600007</v>
      </c>
    </row>
    <row r="8" spans="1:6" x14ac:dyDescent="0.3">
      <c r="A8" s="13"/>
      <c r="B8" s="1">
        <v>3</v>
      </c>
      <c r="C8" s="1">
        <v>8.43</v>
      </c>
      <c r="D8" s="1">
        <f>C8/10</f>
        <v>0.84299999999999997</v>
      </c>
      <c r="E8" s="1">
        <f>D8/2</f>
        <v>0.42149999999999999</v>
      </c>
      <c r="F8" s="4">
        <f>(E8)^2*3.1416</f>
        <v>0.55814372459999995</v>
      </c>
    </row>
    <row r="9" spans="1:6" ht="15" thickBot="1" x14ac:dyDescent="0.35">
      <c r="A9" s="14"/>
      <c r="B9" s="5">
        <v>4</v>
      </c>
      <c r="C9" s="5">
        <v>8.0399999999999991</v>
      </c>
      <c r="D9" s="5">
        <f>C9/10</f>
        <v>0.80399999999999994</v>
      </c>
      <c r="E9" s="5">
        <f>D9/2</f>
        <v>0.40199999999999997</v>
      </c>
      <c r="F9" s="6">
        <f>(E9)^2*3.1416</f>
        <v>0.50769512639999992</v>
      </c>
    </row>
    <row r="10" spans="1:6" x14ac:dyDescent="0.3">
      <c r="A10" s="12" t="s">
        <v>8</v>
      </c>
      <c r="B10" s="2">
        <v>1</v>
      </c>
      <c r="C10" s="2">
        <v>10.433999999999999</v>
      </c>
      <c r="D10" s="2">
        <f t="shared" si="0"/>
        <v>1.0433999999999999</v>
      </c>
      <c r="E10" s="2">
        <f t="shared" si="1"/>
        <v>0.52169999999999994</v>
      </c>
      <c r="F10" s="3">
        <f t="shared" ref="F10:F17" si="3">(E10)^2*3.1416</f>
        <v>0.8550520680239998</v>
      </c>
    </row>
    <row r="11" spans="1:6" x14ac:dyDescent="0.3">
      <c r="A11" s="13"/>
      <c r="B11" s="1">
        <v>2</v>
      </c>
      <c r="C11" s="1">
        <v>10.425000000000001</v>
      </c>
      <c r="D11" s="1">
        <f t="shared" si="0"/>
        <v>1.0425</v>
      </c>
      <c r="E11" s="1">
        <f t="shared" si="1"/>
        <v>0.52124999999999999</v>
      </c>
      <c r="F11" s="4">
        <f t="shared" si="3"/>
        <v>0.85357762874999998</v>
      </c>
    </row>
    <row r="12" spans="1:6" x14ac:dyDescent="0.3">
      <c r="A12" s="13"/>
      <c r="B12" s="1">
        <v>3</v>
      </c>
      <c r="C12" s="1">
        <v>10.634</v>
      </c>
      <c r="D12" s="1">
        <f t="shared" si="0"/>
        <v>1.0634000000000001</v>
      </c>
      <c r="E12" s="1">
        <f t="shared" si="1"/>
        <v>0.53170000000000006</v>
      </c>
      <c r="F12" s="4">
        <f t="shared" si="3"/>
        <v>0.88814568242400016</v>
      </c>
    </row>
    <row r="13" spans="1:6" ht="15" thickBot="1" x14ac:dyDescent="0.35">
      <c r="A13" s="14"/>
      <c r="B13" s="5">
        <v>4</v>
      </c>
      <c r="C13" s="5">
        <v>10.217000000000001</v>
      </c>
      <c r="D13" s="5">
        <f t="shared" si="0"/>
        <v>1.0217000000000001</v>
      </c>
      <c r="E13" s="5">
        <f t="shared" si="1"/>
        <v>0.51085000000000003</v>
      </c>
      <c r="F13" s="6">
        <f t="shared" si="3"/>
        <v>0.81985619700600021</v>
      </c>
    </row>
    <row r="14" spans="1:6" x14ac:dyDescent="0.3">
      <c r="A14" s="12" t="s">
        <v>9</v>
      </c>
      <c r="B14" s="2">
        <v>1</v>
      </c>
      <c r="C14" s="2">
        <v>10.446999999999999</v>
      </c>
      <c r="D14" s="2">
        <f t="shared" si="0"/>
        <v>1.0447</v>
      </c>
      <c r="E14" s="2">
        <f t="shared" si="1"/>
        <v>0.52234999999999998</v>
      </c>
      <c r="F14" s="3">
        <f t="shared" si="3"/>
        <v>0.85718405988599999</v>
      </c>
    </row>
    <row r="15" spans="1:6" x14ac:dyDescent="0.3">
      <c r="A15" s="13"/>
      <c r="B15" s="1">
        <v>2</v>
      </c>
      <c r="C15" s="1">
        <v>9.4890000000000008</v>
      </c>
      <c r="D15" s="1">
        <f t="shared" si="0"/>
        <v>0.94890000000000008</v>
      </c>
      <c r="E15" s="1">
        <f t="shared" si="1"/>
        <v>0.47445000000000004</v>
      </c>
      <c r="F15" s="4">
        <f t="shared" si="3"/>
        <v>0.70718296433400007</v>
      </c>
    </row>
    <row r="16" spans="1:6" x14ac:dyDescent="0.3">
      <c r="A16" s="13"/>
      <c r="B16" s="1">
        <v>3</v>
      </c>
      <c r="C16" s="1">
        <v>9.3930000000000007</v>
      </c>
      <c r="D16" s="1">
        <f t="shared" si="0"/>
        <v>0.93930000000000002</v>
      </c>
      <c r="E16" s="1">
        <f t="shared" si="1"/>
        <v>0.46965000000000001</v>
      </c>
      <c r="F16" s="4">
        <f t="shared" si="3"/>
        <v>0.69294623844600001</v>
      </c>
    </row>
    <row r="17" spans="1:6" ht="15" thickBot="1" x14ac:dyDescent="0.35">
      <c r="A17" s="14"/>
      <c r="B17" s="5">
        <v>4</v>
      </c>
      <c r="C17" s="5">
        <v>9.3930000000000007</v>
      </c>
      <c r="D17" s="5">
        <f t="shared" si="0"/>
        <v>0.93930000000000002</v>
      </c>
      <c r="E17" s="5">
        <f t="shared" si="1"/>
        <v>0.46965000000000001</v>
      </c>
      <c r="F17" s="6">
        <f t="shared" si="3"/>
        <v>0.69294623844600001</v>
      </c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F4CD-07E8-4A11-9304-FA8E2412AAF8}">
  <dimension ref="A1:F17"/>
  <sheetViews>
    <sheetView workbookViewId="0">
      <selection activeCell="F3" sqref="F3"/>
    </sheetView>
  </sheetViews>
  <sheetFormatPr defaultRowHeight="14.4" x14ac:dyDescent="0.3"/>
  <cols>
    <col min="2" max="2" width="13.21875" bestFit="1" customWidth="1"/>
    <col min="3" max="3" width="11.6640625" bestFit="1" customWidth="1"/>
    <col min="4" max="4" width="11.109375" bestFit="1" customWidth="1"/>
  </cols>
  <sheetData>
    <row r="1" spans="1:6" ht="15" thickBot="1" x14ac:dyDescent="0.35">
      <c r="A1" s="7" t="s">
        <v>5</v>
      </c>
      <c r="B1" s="8" t="s">
        <v>0</v>
      </c>
      <c r="C1" s="8" t="s">
        <v>1</v>
      </c>
      <c r="D1" s="8" t="s">
        <v>2</v>
      </c>
      <c r="E1" s="8" t="s">
        <v>3</v>
      </c>
      <c r="F1" s="9" t="s">
        <v>4</v>
      </c>
    </row>
    <row r="2" spans="1:6" x14ac:dyDescent="0.3">
      <c r="A2" s="12" t="s">
        <v>6</v>
      </c>
      <c r="B2" s="2">
        <v>1</v>
      </c>
      <c r="C2" s="2">
        <v>7.827</v>
      </c>
      <c r="D2" s="2">
        <f t="shared" ref="D2:D17" si="0">C2/10</f>
        <v>0.78269999999999995</v>
      </c>
      <c r="E2" s="2">
        <f t="shared" ref="E2:E17" si="1">D2/2</f>
        <v>0.39134999999999998</v>
      </c>
      <c r="F2" s="3">
        <f>(E2)^2*3.1416</f>
        <v>0.48115119036599996</v>
      </c>
    </row>
    <row r="3" spans="1:6" x14ac:dyDescent="0.3">
      <c r="A3" s="13"/>
      <c r="B3" s="1">
        <v>2</v>
      </c>
      <c r="C3" s="1">
        <v>7.9139999999999997</v>
      </c>
      <c r="D3" s="1">
        <f t="shared" si="0"/>
        <v>0.79139999999999999</v>
      </c>
      <c r="E3" s="1">
        <f t="shared" si="1"/>
        <v>0.3957</v>
      </c>
      <c r="F3" s="4">
        <f t="shared" ref="F3:F5" si="2">(E3)^2*3.1416</f>
        <v>0.49190698418399997</v>
      </c>
    </row>
    <row r="4" spans="1:6" x14ac:dyDescent="0.3">
      <c r="A4" s="13"/>
      <c r="B4" s="1">
        <v>3</v>
      </c>
      <c r="C4" s="1">
        <v>7.7060000000000004</v>
      </c>
      <c r="D4" s="1">
        <f>C4/10</f>
        <v>0.77060000000000006</v>
      </c>
      <c r="E4" s="1">
        <f t="shared" si="1"/>
        <v>0.38530000000000003</v>
      </c>
      <c r="F4" s="4">
        <f t="shared" si="2"/>
        <v>0.46638965234400004</v>
      </c>
    </row>
    <row r="5" spans="1:6" ht="15" thickBot="1" x14ac:dyDescent="0.35">
      <c r="A5" s="14"/>
      <c r="B5" s="5">
        <v>4</v>
      </c>
      <c r="C5" s="5">
        <v>7.6050000000000004</v>
      </c>
      <c r="D5" s="5">
        <f t="shared" si="0"/>
        <v>0.76050000000000006</v>
      </c>
      <c r="E5" s="5">
        <f t="shared" si="1"/>
        <v>0.38025000000000003</v>
      </c>
      <c r="F5" s="6">
        <f t="shared" si="2"/>
        <v>0.4542441403500001</v>
      </c>
    </row>
    <row r="6" spans="1:6" x14ac:dyDescent="0.3">
      <c r="A6" s="12" t="s">
        <v>7</v>
      </c>
      <c r="B6" s="2">
        <v>1</v>
      </c>
      <c r="C6" s="2">
        <v>8.452</v>
      </c>
      <c r="D6" s="2">
        <f>C6/10</f>
        <v>0.84519999999999995</v>
      </c>
      <c r="E6" s="2">
        <f>D6/2</f>
        <v>0.42259999999999998</v>
      </c>
      <c r="F6" s="3">
        <f>(E6)^2*3.1416</f>
        <v>0.5610607316159999</v>
      </c>
    </row>
    <row r="7" spans="1:6" x14ac:dyDescent="0.3">
      <c r="A7" s="13"/>
      <c r="B7" s="1">
        <v>2</v>
      </c>
      <c r="C7" s="1">
        <v>9.0419999999999998</v>
      </c>
      <c r="D7" s="1">
        <f>C7/10</f>
        <v>0.9042</v>
      </c>
      <c r="E7" s="1">
        <f>D7/2</f>
        <v>0.4521</v>
      </c>
      <c r="F7" s="4">
        <f>(E7)^2*3.1416</f>
        <v>0.64212547845599999</v>
      </c>
    </row>
    <row r="8" spans="1:6" x14ac:dyDescent="0.3">
      <c r="A8" s="13"/>
      <c r="B8" s="1">
        <v>3</v>
      </c>
      <c r="C8" s="1">
        <v>8.6489999999999991</v>
      </c>
      <c r="D8" s="1">
        <f>C8/10</f>
        <v>0.86489999999999989</v>
      </c>
      <c r="E8" s="1">
        <f>D8/2</f>
        <v>0.43244999999999995</v>
      </c>
      <c r="F8" s="4">
        <f>(E8)^2*3.1416</f>
        <v>0.58752004865399976</v>
      </c>
    </row>
    <row r="9" spans="1:6" ht="15" thickBot="1" x14ac:dyDescent="0.35">
      <c r="A9" s="14"/>
      <c r="B9" s="5">
        <v>4</v>
      </c>
      <c r="C9" s="5">
        <v>8.6489999999999991</v>
      </c>
      <c r="D9" s="5">
        <f>C9/10</f>
        <v>0.86489999999999989</v>
      </c>
      <c r="E9" s="5">
        <f>D9/2</f>
        <v>0.43244999999999995</v>
      </c>
      <c r="F9" s="6">
        <f>(E9)^2*3.1416</f>
        <v>0.58752004865399976</v>
      </c>
    </row>
    <row r="10" spans="1:6" x14ac:dyDescent="0.3">
      <c r="A10" s="12" t="s">
        <v>8</v>
      </c>
      <c r="B10" s="2"/>
      <c r="C10" s="2">
        <v>9.3829999999999991</v>
      </c>
      <c r="D10" s="2">
        <f t="shared" si="0"/>
        <v>0.93829999999999991</v>
      </c>
      <c r="E10" s="2">
        <f t="shared" si="1"/>
        <v>0.46914999999999996</v>
      </c>
      <c r="F10" s="3">
        <f t="shared" ref="F10:F17" si="3">(E10)^2*3.1416</f>
        <v>0.69147157140599991</v>
      </c>
    </row>
    <row r="11" spans="1:6" x14ac:dyDescent="0.3">
      <c r="A11" s="13"/>
      <c r="B11" s="1"/>
      <c r="C11" s="1">
        <v>9.8000000000000007</v>
      </c>
      <c r="D11" s="1">
        <f t="shared" si="0"/>
        <v>0.98000000000000009</v>
      </c>
      <c r="E11" s="1">
        <f t="shared" si="1"/>
        <v>0.49000000000000005</v>
      </c>
      <c r="F11" s="4">
        <f t="shared" si="3"/>
        <v>0.75429816000000005</v>
      </c>
    </row>
    <row r="12" spans="1:6" x14ac:dyDescent="0.3">
      <c r="A12" s="13"/>
      <c r="B12" s="1"/>
      <c r="C12" s="1">
        <v>10.010999999999999</v>
      </c>
      <c r="D12" s="1">
        <f t="shared" si="0"/>
        <v>1.0010999999999999</v>
      </c>
      <c r="E12" s="1">
        <f t="shared" si="1"/>
        <v>0.50054999999999994</v>
      </c>
      <c r="F12" s="4">
        <f t="shared" si="3"/>
        <v>0.78712883033399983</v>
      </c>
    </row>
    <row r="13" spans="1:6" ht="15" thickBot="1" x14ac:dyDescent="0.35">
      <c r="A13" s="14"/>
      <c r="B13" s="5"/>
      <c r="C13" s="5">
        <v>9.8000000000000007</v>
      </c>
      <c r="D13" s="5">
        <f t="shared" si="0"/>
        <v>0.98000000000000009</v>
      </c>
      <c r="E13" s="5">
        <f t="shared" si="1"/>
        <v>0.49000000000000005</v>
      </c>
      <c r="F13" s="6">
        <f t="shared" si="3"/>
        <v>0.75429816000000005</v>
      </c>
    </row>
    <row r="14" spans="1:6" x14ac:dyDescent="0.3">
      <c r="A14" s="12" t="s">
        <v>9</v>
      </c>
      <c r="B14" s="2"/>
      <c r="C14" s="2">
        <v>8.5299999999999994</v>
      </c>
      <c r="D14" s="2">
        <f t="shared" si="0"/>
        <v>0.85299999999999998</v>
      </c>
      <c r="E14" s="2">
        <f t="shared" si="1"/>
        <v>0.42649999999999999</v>
      </c>
      <c r="F14" s="3">
        <f t="shared" si="3"/>
        <v>0.57146410859999996</v>
      </c>
    </row>
    <row r="15" spans="1:6" x14ac:dyDescent="0.3">
      <c r="A15" s="13"/>
      <c r="B15" s="1"/>
      <c r="C15" s="1">
        <v>8.9139999999999997</v>
      </c>
      <c r="D15" s="1">
        <f t="shared" si="0"/>
        <v>0.89139999999999997</v>
      </c>
      <c r="E15" s="1">
        <f t="shared" si="1"/>
        <v>0.44569999999999999</v>
      </c>
      <c r="F15" s="4">
        <f t="shared" si="3"/>
        <v>0.62407409618399989</v>
      </c>
    </row>
    <row r="16" spans="1:6" x14ac:dyDescent="0.3">
      <c r="A16" s="13"/>
      <c r="B16" s="1"/>
      <c r="C16" s="1">
        <v>9.1050000000000004</v>
      </c>
      <c r="D16" s="1">
        <f t="shared" si="0"/>
        <v>0.91050000000000009</v>
      </c>
      <c r="E16" s="1">
        <f t="shared" si="1"/>
        <v>0.45525000000000004</v>
      </c>
      <c r="F16" s="4">
        <f t="shared" si="3"/>
        <v>0.65110465035000009</v>
      </c>
    </row>
    <row r="17" spans="1:6" ht="15" thickBot="1" x14ac:dyDescent="0.35">
      <c r="A17" s="14"/>
      <c r="B17" s="5"/>
      <c r="C17" s="5">
        <v>9.2970000000000006</v>
      </c>
      <c r="D17" s="5">
        <f t="shared" si="0"/>
        <v>0.92970000000000008</v>
      </c>
      <c r="E17" s="5">
        <f t="shared" si="1"/>
        <v>0.46485000000000004</v>
      </c>
      <c r="F17" s="6">
        <f t="shared" si="3"/>
        <v>0.67885427748600013</v>
      </c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BD32A-6B7A-4761-82E2-729AF36BB1A5}">
  <dimension ref="A1:F17"/>
  <sheetViews>
    <sheetView workbookViewId="0">
      <selection activeCell="F3" sqref="F3"/>
    </sheetView>
  </sheetViews>
  <sheetFormatPr defaultRowHeight="14.4" x14ac:dyDescent="0.3"/>
  <cols>
    <col min="1" max="1" width="8.88671875" style="11"/>
    <col min="2" max="2" width="13.21875" bestFit="1" customWidth="1"/>
    <col min="3" max="3" width="11.6640625" bestFit="1" customWidth="1"/>
    <col min="4" max="4" width="11.109375" bestFit="1" customWidth="1"/>
    <col min="6" max="6" width="12" bestFit="1" customWidth="1"/>
  </cols>
  <sheetData>
    <row r="1" spans="1:6" ht="15" thickBot="1" x14ac:dyDescent="0.35">
      <c r="A1" s="10" t="s">
        <v>5</v>
      </c>
      <c r="B1" s="8" t="s">
        <v>0</v>
      </c>
      <c r="C1" s="8" t="s">
        <v>1</v>
      </c>
      <c r="D1" s="8" t="s">
        <v>2</v>
      </c>
      <c r="E1" s="8" t="s">
        <v>3</v>
      </c>
      <c r="F1" s="9" t="s">
        <v>4</v>
      </c>
    </row>
    <row r="2" spans="1:6" x14ac:dyDescent="0.3">
      <c r="A2" s="12" t="s">
        <v>6</v>
      </c>
      <c r="B2" s="2">
        <v>1</v>
      </c>
      <c r="C2" s="2">
        <v>8.6259999999999994</v>
      </c>
      <c r="D2" s="2">
        <f t="shared" ref="D2:D17" si="0">C2/10</f>
        <v>0.86259999999999992</v>
      </c>
      <c r="E2" s="2">
        <f t="shared" ref="E2:E17" si="1">D2/2</f>
        <v>0.43129999999999996</v>
      </c>
      <c r="F2" s="3">
        <f>(E2)^2*3.1416</f>
        <v>0.58439945810399985</v>
      </c>
    </row>
    <row r="3" spans="1:6" x14ac:dyDescent="0.3">
      <c r="A3" s="13"/>
      <c r="B3" s="1">
        <v>2</v>
      </c>
      <c r="C3" s="1">
        <v>8.3070000000000004</v>
      </c>
      <c r="D3" s="1">
        <f t="shared" si="0"/>
        <v>0.83069999999999999</v>
      </c>
      <c r="E3" s="1">
        <f t="shared" si="1"/>
        <v>0.41535</v>
      </c>
      <c r="F3" s="4">
        <f t="shared" ref="F2:F8" si="2">(E3)^2*3.1416</f>
        <v>0.541975079646</v>
      </c>
    </row>
    <row r="4" spans="1:6" x14ac:dyDescent="0.3">
      <c r="A4" s="13"/>
      <c r="B4" s="1">
        <v>3</v>
      </c>
      <c r="C4" s="1">
        <v>8.1470000000000002</v>
      </c>
      <c r="D4" s="1">
        <f t="shared" si="0"/>
        <v>0.81469999999999998</v>
      </c>
      <c r="E4" s="1">
        <f t="shared" si="1"/>
        <v>0.40734999999999999</v>
      </c>
      <c r="F4" s="4">
        <f t="shared" si="2"/>
        <v>0.52129832508600005</v>
      </c>
    </row>
    <row r="5" spans="1:6" ht="15" thickBot="1" x14ac:dyDescent="0.35">
      <c r="A5" s="14"/>
      <c r="B5" s="5">
        <v>4</v>
      </c>
      <c r="C5" s="5">
        <v>8.9139999999999997</v>
      </c>
      <c r="D5" s="5">
        <f t="shared" si="0"/>
        <v>0.89139999999999997</v>
      </c>
      <c r="E5" s="5">
        <f t="shared" si="1"/>
        <v>0.44569999999999999</v>
      </c>
      <c r="F5" s="6">
        <f t="shared" si="2"/>
        <v>0.62407409618399989</v>
      </c>
    </row>
    <row r="6" spans="1:6" x14ac:dyDescent="0.3">
      <c r="A6" s="12" t="s">
        <v>7</v>
      </c>
      <c r="B6" s="2">
        <v>1</v>
      </c>
      <c r="C6" s="2">
        <v>9.5210000000000008</v>
      </c>
      <c r="D6" s="2">
        <f t="shared" si="0"/>
        <v>0.95210000000000006</v>
      </c>
      <c r="E6" s="2">
        <f t="shared" si="1"/>
        <v>0.47605000000000003</v>
      </c>
      <c r="F6" s="3">
        <f t="shared" si="2"/>
        <v>0.71196070961400004</v>
      </c>
    </row>
    <row r="7" spans="1:6" x14ac:dyDescent="0.3">
      <c r="A7" s="13"/>
      <c r="B7" s="1">
        <v>2</v>
      </c>
      <c r="C7" s="1">
        <v>8.9459999999999997</v>
      </c>
      <c r="D7" s="1">
        <f t="shared" si="0"/>
        <v>0.89459999999999995</v>
      </c>
      <c r="E7" s="1">
        <f t="shared" si="1"/>
        <v>0.44729999999999998</v>
      </c>
      <c r="F7" s="4">
        <f t="shared" si="2"/>
        <v>0.62856281426399996</v>
      </c>
    </row>
    <row r="8" spans="1:6" x14ac:dyDescent="0.3">
      <c r="A8" s="13"/>
      <c r="B8" s="1">
        <v>3</v>
      </c>
      <c r="C8" s="1">
        <v>8.69</v>
      </c>
      <c r="D8" s="1">
        <f t="shared" si="0"/>
        <v>0.86899999999999999</v>
      </c>
      <c r="E8" s="1">
        <f t="shared" si="1"/>
        <v>0.4345</v>
      </c>
      <c r="F8" s="4">
        <f t="shared" si="2"/>
        <v>0.59310344939999993</v>
      </c>
    </row>
    <row r="9" spans="1:6" ht="15" thickBot="1" x14ac:dyDescent="0.35">
      <c r="A9" s="14"/>
      <c r="B9" s="5">
        <v>4</v>
      </c>
      <c r="C9" s="5">
        <v>8.4979999999999993</v>
      </c>
      <c r="D9" s="5">
        <f t="shared" si="0"/>
        <v>0.84979999999999989</v>
      </c>
      <c r="E9" s="5">
        <f t="shared" si="1"/>
        <v>0.42489999999999994</v>
      </c>
      <c r="F9" s="6">
        <f>(E9)^2*3.1416</f>
        <v>0.5671844954159998</v>
      </c>
    </row>
    <row r="10" spans="1:6" x14ac:dyDescent="0.3">
      <c r="A10" s="12" t="s">
        <v>10</v>
      </c>
      <c r="B10" s="2">
        <v>1</v>
      </c>
      <c r="C10" s="2">
        <v>9.3930000000000007</v>
      </c>
      <c r="D10" s="2">
        <f t="shared" si="0"/>
        <v>0.93930000000000002</v>
      </c>
      <c r="E10" s="2">
        <f t="shared" si="1"/>
        <v>0.46965000000000001</v>
      </c>
      <c r="F10" s="3">
        <f t="shared" ref="F10:F17" si="3">(E10)^2*3.1416</f>
        <v>0.69294623844600001</v>
      </c>
    </row>
    <row r="11" spans="1:6" x14ac:dyDescent="0.3">
      <c r="A11" s="13"/>
      <c r="B11" s="1">
        <v>2</v>
      </c>
      <c r="C11" s="1">
        <v>8.4350000000000005</v>
      </c>
      <c r="D11" s="1">
        <f t="shared" si="0"/>
        <v>0.84350000000000003</v>
      </c>
      <c r="E11" s="1">
        <f t="shared" si="1"/>
        <v>0.42175000000000001</v>
      </c>
      <c r="F11" s="4">
        <f t="shared" si="3"/>
        <v>0.55880601315</v>
      </c>
    </row>
    <row r="12" spans="1:6" x14ac:dyDescent="0.3">
      <c r="A12" s="13"/>
      <c r="B12" s="1">
        <v>3</v>
      </c>
      <c r="C12" s="1">
        <v>8.7219999999999995</v>
      </c>
      <c r="D12" s="1">
        <f t="shared" si="0"/>
        <v>0.87219999999999998</v>
      </c>
      <c r="E12" s="1">
        <f t="shared" si="1"/>
        <v>0.43609999999999999</v>
      </c>
      <c r="F12" s="4">
        <f t="shared" si="3"/>
        <v>0.59747957253599993</v>
      </c>
    </row>
    <row r="13" spans="1:6" ht="15" thickBot="1" x14ac:dyDescent="0.35">
      <c r="A13" s="14"/>
      <c r="B13" s="5">
        <v>4</v>
      </c>
      <c r="C13" s="5">
        <v>8.8770000000000007</v>
      </c>
      <c r="D13" s="5">
        <f t="shared" si="0"/>
        <v>0.88770000000000004</v>
      </c>
      <c r="E13" s="5">
        <f t="shared" si="1"/>
        <v>0.44385000000000002</v>
      </c>
      <c r="F13" s="6">
        <f t="shared" si="3"/>
        <v>0.61890406716599999</v>
      </c>
    </row>
    <row r="14" spans="1:6" x14ac:dyDescent="0.3">
      <c r="A14" s="12" t="s">
        <v>11</v>
      </c>
      <c r="B14" s="2">
        <v>1</v>
      </c>
      <c r="C14" s="2">
        <v>8.5310000000000006</v>
      </c>
      <c r="D14" s="2">
        <f t="shared" si="0"/>
        <v>0.85310000000000008</v>
      </c>
      <c r="E14" s="2">
        <f t="shared" si="1"/>
        <v>0.42655000000000004</v>
      </c>
      <c r="F14" s="3">
        <f t="shared" si="3"/>
        <v>0.57159810569400005</v>
      </c>
    </row>
    <row r="15" spans="1:6" x14ac:dyDescent="0.3">
      <c r="A15" s="13"/>
      <c r="B15" s="1">
        <v>2</v>
      </c>
      <c r="C15" s="1">
        <v>9.3930000000000007</v>
      </c>
      <c r="D15" s="1">
        <f t="shared" si="0"/>
        <v>0.93930000000000002</v>
      </c>
      <c r="E15" s="1">
        <f t="shared" si="1"/>
        <v>0.46965000000000001</v>
      </c>
      <c r="F15" s="4">
        <f t="shared" si="3"/>
        <v>0.69294623844600001</v>
      </c>
    </row>
    <row r="16" spans="1:6" x14ac:dyDescent="0.3">
      <c r="A16" s="13"/>
      <c r="B16" s="1">
        <v>3</v>
      </c>
      <c r="C16" s="1">
        <v>8.6259999999999994</v>
      </c>
      <c r="D16" s="1">
        <f t="shared" si="0"/>
        <v>0.86259999999999992</v>
      </c>
      <c r="E16" s="1">
        <f t="shared" si="1"/>
        <v>0.43129999999999996</v>
      </c>
      <c r="F16" s="4">
        <f t="shared" si="3"/>
        <v>0.58439945810399985</v>
      </c>
    </row>
    <row r="17" spans="1:6" ht="15" thickBot="1" x14ac:dyDescent="0.35">
      <c r="A17" s="14"/>
      <c r="B17" s="5">
        <v>4</v>
      </c>
      <c r="C17" s="5">
        <v>10.16</v>
      </c>
      <c r="D17" s="5">
        <f t="shared" si="0"/>
        <v>1.016</v>
      </c>
      <c r="E17" s="5">
        <f t="shared" si="1"/>
        <v>0.50800000000000001</v>
      </c>
      <c r="F17" s="6">
        <f t="shared" si="3"/>
        <v>0.8107338624</v>
      </c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BCD5-F6E2-42C0-B7B3-4D2B5972C538}">
  <dimension ref="A1:F17"/>
  <sheetViews>
    <sheetView workbookViewId="0">
      <selection activeCell="F3" sqref="F3"/>
    </sheetView>
  </sheetViews>
  <sheetFormatPr defaultRowHeight="14.4" x14ac:dyDescent="0.3"/>
  <cols>
    <col min="1" max="1" width="8.88671875" style="11"/>
    <col min="2" max="2" width="13.21875" bestFit="1" customWidth="1"/>
    <col min="3" max="3" width="11.6640625" bestFit="1" customWidth="1"/>
    <col min="4" max="4" width="11.109375" bestFit="1" customWidth="1"/>
  </cols>
  <sheetData>
    <row r="1" spans="1:6" ht="15" thickBot="1" x14ac:dyDescent="0.35">
      <c r="A1" s="10" t="s">
        <v>5</v>
      </c>
      <c r="B1" s="8" t="s">
        <v>0</v>
      </c>
      <c r="C1" s="8" t="s">
        <v>1</v>
      </c>
      <c r="D1" s="8" t="s">
        <v>2</v>
      </c>
      <c r="E1" s="8" t="s">
        <v>3</v>
      </c>
      <c r="F1" s="9" t="s">
        <v>4</v>
      </c>
    </row>
    <row r="2" spans="1:6" x14ac:dyDescent="0.3">
      <c r="A2" s="15" t="s">
        <v>6</v>
      </c>
      <c r="B2" s="2">
        <v>1</v>
      </c>
      <c r="C2" s="2">
        <v>7.7640000000000002</v>
      </c>
      <c r="D2" s="2">
        <f t="shared" ref="D2:D17" si="0">C2/10</f>
        <v>0.77639999999999998</v>
      </c>
      <c r="E2" s="2">
        <f t="shared" ref="E2:E17" si="1">D2/2</f>
        <v>0.38819999999999999</v>
      </c>
      <c r="F2" s="3">
        <f>(E2)^2*3.1416</f>
        <v>0.47343673238399997</v>
      </c>
    </row>
    <row r="3" spans="1:6" x14ac:dyDescent="0.3">
      <c r="A3" s="16"/>
      <c r="B3" s="1">
        <v>2</v>
      </c>
      <c r="C3" s="1">
        <v>6.8049999999999997</v>
      </c>
      <c r="D3" s="1">
        <f t="shared" si="0"/>
        <v>0.68049999999999999</v>
      </c>
      <c r="E3" s="1">
        <f t="shared" si="1"/>
        <v>0.34025</v>
      </c>
      <c r="F3" s="4">
        <f t="shared" ref="F2:F8" si="2">(E3)^2*3.1416</f>
        <v>0.36370322834999996</v>
      </c>
    </row>
    <row r="4" spans="1:6" x14ac:dyDescent="0.3">
      <c r="A4" s="16"/>
      <c r="B4" s="1">
        <v>3</v>
      </c>
      <c r="C4" s="1">
        <v>6.9969999999999999</v>
      </c>
      <c r="D4" s="1">
        <f>C4/10</f>
        <v>0.69969999999999999</v>
      </c>
      <c r="E4" s="1">
        <f t="shared" si="1"/>
        <v>0.34984999999999999</v>
      </c>
      <c r="F4" s="4">
        <f t="shared" si="2"/>
        <v>0.38451620268599995</v>
      </c>
    </row>
    <row r="5" spans="1:6" ht="15" thickBot="1" x14ac:dyDescent="0.35">
      <c r="A5" s="17"/>
      <c r="B5" s="5">
        <v>4</v>
      </c>
      <c r="C5" s="5">
        <v>7.859</v>
      </c>
      <c r="D5" s="5">
        <f t="shared" si="0"/>
        <v>0.78590000000000004</v>
      </c>
      <c r="E5" s="5">
        <f t="shared" si="1"/>
        <v>0.39295000000000002</v>
      </c>
      <c r="F5" s="6">
        <f t="shared" si="2"/>
        <v>0.48509352137400008</v>
      </c>
    </row>
    <row r="6" spans="1:6" x14ac:dyDescent="0.3">
      <c r="A6" s="15" t="s">
        <v>7</v>
      </c>
      <c r="B6" s="2">
        <v>1</v>
      </c>
      <c r="C6" s="2">
        <v>8.5630000000000006</v>
      </c>
      <c r="D6" s="2">
        <f t="shared" si="0"/>
        <v>0.85630000000000006</v>
      </c>
      <c r="E6" s="2">
        <f t="shared" si="1"/>
        <v>0.42815000000000003</v>
      </c>
      <c r="F6" s="3">
        <f t="shared" si="2"/>
        <v>0.57589430652600004</v>
      </c>
    </row>
    <row r="7" spans="1:6" x14ac:dyDescent="0.3">
      <c r="A7" s="16"/>
      <c r="B7" s="1">
        <v>2</v>
      </c>
      <c r="C7" s="1">
        <v>7.54</v>
      </c>
      <c r="D7" s="1">
        <f t="shared" si="0"/>
        <v>0.754</v>
      </c>
      <c r="E7" s="1">
        <f t="shared" si="1"/>
        <v>0.377</v>
      </c>
      <c r="F7" s="4">
        <f t="shared" si="2"/>
        <v>0.44651246640000003</v>
      </c>
    </row>
    <row r="8" spans="1:6" x14ac:dyDescent="0.3">
      <c r="A8" s="16"/>
      <c r="B8" s="1">
        <v>3</v>
      </c>
      <c r="C8" s="1">
        <v>7.7320000000000002</v>
      </c>
      <c r="D8" s="1">
        <f t="shared" si="0"/>
        <v>0.7732</v>
      </c>
      <c r="E8" s="1">
        <f t="shared" si="1"/>
        <v>0.3866</v>
      </c>
      <c r="F8" s="4">
        <f t="shared" si="2"/>
        <v>0.46954215369599994</v>
      </c>
    </row>
    <row r="9" spans="1:6" ht="15" thickBot="1" x14ac:dyDescent="0.35">
      <c r="A9" s="17"/>
      <c r="B9" s="5">
        <v>4</v>
      </c>
      <c r="C9" s="5">
        <v>9.0739999999999998</v>
      </c>
      <c r="D9" s="5">
        <f t="shared" si="0"/>
        <v>0.90739999999999998</v>
      </c>
      <c r="E9" s="5">
        <f t="shared" si="1"/>
        <v>0.45369999999999999</v>
      </c>
      <c r="F9" s="6">
        <f>(E9)^2*3.1416</f>
        <v>0.64667853650399998</v>
      </c>
    </row>
    <row r="10" spans="1:6" x14ac:dyDescent="0.3">
      <c r="A10" s="15" t="s">
        <v>10</v>
      </c>
      <c r="B10" s="2">
        <v>1</v>
      </c>
      <c r="C10" s="2">
        <v>8.2430000000000003</v>
      </c>
      <c r="D10" s="2">
        <f t="shared" si="0"/>
        <v>0.82430000000000003</v>
      </c>
      <c r="E10" s="2">
        <f t="shared" si="1"/>
        <v>0.41215000000000002</v>
      </c>
      <c r="F10" s="3">
        <f t="shared" ref="F10:F17" si="3">(E10)^2*3.1416</f>
        <v>0.53365612284600006</v>
      </c>
    </row>
    <row r="11" spans="1:6" x14ac:dyDescent="0.3">
      <c r="A11" s="16"/>
      <c r="B11" s="1">
        <v>2</v>
      </c>
      <c r="C11" s="1">
        <v>8.9139999999999997</v>
      </c>
      <c r="D11" s="1">
        <f t="shared" si="0"/>
        <v>0.89139999999999997</v>
      </c>
      <c r="E11" s="1">
        <f t="shared" si="1"/>
        <v>0.44569999999999999</v>
      </c>
      <c r="F11" s="4">
        <f t="shared" si="3"/>
        <v>0.62407409618399989</v>
      </c>
    </row>
    <row r="12" spans="1:6" x14ac:dyDescent="0.3">
      <c r="A12" s="16"/>
      <c r="B12" s="1">
        <v>3</v>
      </c>
      <c r="C12" s="1">
        <v>8.8179999999999996</v>
      </c>
      <c r="D12" s="1">
        <f t="shared" si="0"/>
        <v>0.88179999999999992</v>
      </c>
      <c r="E12" s="1">
        <f t="shared" si="1"/>
        <v>0.44089999999999996</v>
      </c>
      <c r="F12" s="4">
        <f t="shared" si="3"/>
        <v>0.61070445189599987</v>
      </c>
    </row>
    <row r="13" spans="1:6" ht="15" thickBot="1" x14ac:dyDescent="0.35">
      <c r="A13" s="17"/>
      <c r="B13" s="5">
        <v>4</v>
      </c>
      <c r="C13" s="5">
        <v>8.8179999999999996</v>
      </c>
      <c r="D13" s="5">
        <f t="shared" si="0"/>
        <v>0.88179999999999992</v>
      </c>
      <c r="E13" s="5">
        <f t="shared" si="1"/>
        <v>0.44089999999999996</v>
      </c>
      <c r="F13" s="6">
        <f t="shared" si="3"/>
        <v>0.61070445189599987</v>
      </c>
    </row>
    <row r="14" spans="1:6" x14ac:dyDescent="0.3">
      <c r="A14" s="15" t="s">
        <v>11</v>
      </c>
      <c r="B14" s="2">
        <v>1</v>
      </c>
      <c r="C14" s="2">
        <v>8.7219999999999995</v>
      </c>
      <c r="D14" s="2">
        <f t="shared" si="0"/>
        <v>0.87219999999999998</v>
      </c>
      <c r="E14" s="2">
        <f t="shared" si="1"/>
        <v>0.43609999999999999</v>
      </c>
      <c r="F14" s="3">
        <f t="shared" si="3"/>
        <v>0.59747957253599993</v>
      </c>
    </row>
    <row r="15" spans="1:6" x14ac:dyDescent="0.3">
      <c r="A15" s="16"/>
      <c r="B15" s="1">
        <v>2</v>
      </c>
      <c r="C15" s="1">
        <v>9.1059999999999999</v>
      </c>
      <c r="D15" s="1">
        <f t="shared" si="0"/>
        <v>0.91059999999999997</v>
      </c>
      <c r="E15" s="1">
        <f t="shared" si="1"/>
        <v>0.45529999999999998</v>
      </c>
      <c r="F15" s="4">
        <f t="shared" si="3"/>
        <v>0.65124767954399998</v>
      </c>
    </row>
    <row r="16" spans="1:6" x14ac:dyDescent="0.3">
      <c r="A16" s="16"/>
      <c r="B16" s="1">
        <v>3</v>
      </c>
      <c r="C16" s="1">
        <v>8.6270000000000007</v>
      </c>
      <c r="D16" s="1">
        <f t="shared" si="0"/>
        <v>0.86270000000000002</v>
      </c>
      <c r="E16" s="1">
        <f t="shared" si="1"/>
        <v>0.43135000000000001</v>
      </c>
      <c r="F16" s="4">
        <f t="shared" si="3"/>
        <v>0.58453496316599995</v>
      </c>
    </row>
    <row r="17" spans="1:6" ht="15" thickBot="1" x14ac:dyDescent="0.35">
      <c r="A17" s="17"/>
      <c r="B17" s="5">
        <v>4</v>
      </c>
      <c r="C17" s="5">
        <v>8.4350000000000005</v>
      </c>
      <c r="D17" s="5">
        <f t="shared" si="0"/>
        <v>0.84350000000000003</v>
      </c>
      <c r="E17" s="5">
        <f t="shared" si="1"/>
        <v>0.42175000000000001</v>
      </c>
      <c r="F17" s="6">
        <f t="shared" si="3"/>
        <v>0.55880601315</v>
      </c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75B3-D632-4097-8667-4607190509FA}">
  <dimension ref="A1:F17"/>
  <sheetViews>
    <sheetView workbookViewId="0">
      <selection activeCell="F3" sqref="F3"/>
    </sheetView>
  </sheetViews>
  <sheetFormatPr defaultRowHeight="14.4" x14ac:dyDescent="0.3"/>
  <cols>
    <col min="2" max="2" width="13.21875" bestFit="1" customWidth="1"/>
    <col min="3" max="3" width="11.6640625" bestFit="1" customWidth="1"/>
    <col min="4" max="4" width="11.109375" bestFit="1" customWidth="1"/>
    <col min="6" max="6" width="12" bestFit="1" customWidth="1"/>
  </cols>
  <sheetData>
    <row r="1" spans="1:6" ht="15" thickBot="1" x14ac:dyDescent="0.35">
      <c r="A1" s="7" t="s">
        <v>5</v>
      </c>
      <c r="B1" s="8" t="s">
        <v>0</v>
      </c>
      <c r="C1" s="8" t="s">
        <v>1</v>
      </c>
      <c r="D1" s="8" t="s">
        <v>2</v>
      </c>
      <c r="E1" s="8" t="s">
        <v>3</v>
      </c>
      <c r="F1" s="9" t="s">
        <v>4</v>
      </c>
    </row>
    <row r="2" spans="1:6" x14ac:dyDescent="0.3">
      <c r="A2" s="12" t="s">
        <v>6</v>
      </c>
      <c r="B2" s="2">
        <v>1</v>
      </c>
      <c r="C2" s="2">
        <v>5.367</v>
      </c>
      <c r="D2" s="2">
        <f t="shared" ref="D2:D17" si="0">C2/10</f>
        <v>0.53669999999999995</v>
      </c>
      <c r="E2" s="2">
        <f t="shared" ref="E2:E17" si="1">D2/2</f>
        <v>0.26834999999999998</v>
      </c>
      <c r="F2" s="3">
        <f>(E2)^2*3.1416</f>
        <v>0.22623202740599996</v>
      </c>
    </row>
    <row r="3" spans="1:6" x14ac:dyDescent="0.3">
      <c r="A3" s="13"/>
      <c r="B3" s="1">
        <v>2</v>
      </c>
      <c r="C3" s="1">
        <v>4.601</v>
      </c>
      <c r="D3" s="1">
        <f t="shared" si="0"/>
        <v>0.46010000000000001</v>
      </c>
      <c r="E3" s="1">
        <f t="shared" si="1"/>
        <v>0.23005</v>
      </c>
      <c r="F3" s="4">
        <f t="shared" ref="F2:F17" si="2">(E3)^2*3.1416</f>
        <v>0.16626290465400001</v>
      </c>
    </row>
    <row r="4" spans="1:6" x14ac:dyDescent="0.3">
      <c r="A4" s="13"/>
      <c r="B4" s="1">
        <v>3</v>
      </c>
      <c r="C4" s="1">
        <v>5.367</v>
      </c>
      <c r="D4" s="1">
        <f t="shared" si="0"/>
        <v>0.53669999999999995</v>
      </c>
      <c r="E4" s="1">
        <f t="shared" si="1"/>
        <v>0.26834999999999998</v>
      </c>
      <c r="F4" s="4">
        <f t="shared" si="2"/>
        <v>0.22623202740599996</v>
      </c>
    </row>
    <row r="5" spans="1:6" ht="15" thickBot="1" x14ac:dyDescent="0.35">
      <c r="A5" s="14"/>
      <c r="B5" s="5">
        <v>4</v>
      </c>
      <c r="C5" s="5">
        <v>5.2720000000000002</v>
      </c>
      <c r="D5" s="5">
        <f t="shared" si="0"/>
        <v>0.5272</v>
      </c>
      <c r="E5" s="5">
        <f t="shared" si="1"/>
        <v>0.2636</v>
      </c>
      <c r="F5" s="6">
        <f t="shared" si="2"/>
        <v>0.21829395033599999</v>
      </c>
    </row>
    <row r="6" spans="1:6" x14ac:dyDescent="0.3">
      <c r="A6" s="12" t="s">
        <v>7</v>
      </c>
      <c r="B6" s="2">
        <v>1</v>
      </c>
      <c r="C6" s="2">
        <v>4.4089999999999998</v>
      </c>
      <c r="D6" s="2">
        <f t="shared" si="0"/>
        <v>0.44089999999999996</v>
      </c>
      <c r="E6" s="2">
        <f t="shared" si="1"/>
        <v>0.22044999999999998</v>
      </c>
      <c r="F6" s="3">
        <f t="shared" si="2"/>
        <v>0.15267611297399997</v>
      </c>
    </row>
    <row r="7" spans="1:6" x14ac:dyDescent="0.3">
      <c r="A7" s="13"/>
      <c r="B7" s="1">
        <v>2</v>
      </c>
      <c r="C7" s="1">
        <v>4.7930000000000001</v>
      </c>
      <c r="D7" s="1">
        <f t="shared" si="0"/>
        <v>0.4793</v>
      </c>
      <c r="E7" s="1">
        <f t="shared" si="1"/>
        <v>0.23965</v>
      </c>
      <c r="F7" s="4">
        <f t="shared" si="2"/>
        <v>0.18042875604600001</v>
      </c>
    </row>
    <row r="8" spans="1:6" x14ac:dyDescent="0.3">
      <c r="A8" s="13"/>
      <c r="B8" s="1">
        <v>3</v>
      </c>
      <c r="C8" s="1">
        <v>5.7510000000000003</v>
      </c>
      <c r="D8" s="1">
        <f t="shared" si="0"/>
        <v>0.57510000000000006</v>
      </c>
      <c r="E8" s="1">
        <f t="shared" si="1"/>
        <v>0.28755000000000003</v>
      </c>
      <c r="F8" s="4">
        <f t="shared" si="2"/>
        <v>0.25976320385400004</v>
      </c>
    </row>
    <row r="9" spans="1:6" ht="15" thickBot="1" x14ac:dyDescent="0.35">
      <c r="A9" s="14"/>
      <c r="B9" s="5">
        <v>4</v>
      </c>
      <c r="C9" s="5">
        <v>4.3449999999999998</v>
      </c>
      <c r="D9" s="5">
        <f t="shared" si="0"/>
        <v>0.4345</v>
      </c>
      <c r="E9" s="5">
        <f t="shared" si="1"/>
        <v>0.21725</v>
      </c>
      <c r="F9" s="6">
        <f t="shared" si="2"/>
        <v>0.14827586234999998</v>
      </c>
    </row>
    <row r="10" spans="1:6" x14ac:dyDescent="0.3">
      <c r="A10" s="12" t="s">
        <v>10</v>
      </c>
      <c r="B10" s="2">
        <v>1</v>
      </c>
      <c r="C10" s="2">
        <v>5.56</v>
      </c>
      <c r="D10" s="2">
        <f t="shared" si="0"/>
        <v>0.55599999999999994</v>
      </c>
      <c r="E10" s="2">
        <f t="shared" si="1"/>
        <v>0.27799999999999997</v>
      </c>
      <c r="F10" s="3">
        <f t="shared" si="2"/>
        <v>0.24279541439999994</v>
      </c>
    </row>
    <row r="11" spans="1:6" x14ac:dyDescent="0.3">
      <c r="A11" s="13"/>
      <c r="B11" s="1">
        <v>2</v>
      </c>
      <c r="C11" s="1">
        <v>4.41</v>
      </c>
      <c r="D11" s="1">
        <f t="shared" si="0"/>
        <v>0.441</v>
      </c>
      <c r="E11" s="1">
        <f t="shared" si="1"/>
        <v>0.2205</v>
      </c>
      <c r="F11" s="4">
        <f t="shared" si="2"/>
        <v>0.15274537740000002</v>
      </c>
    </row>
    <row r="12" spans="1:6" x14ac:dyDescent="0.3">
      <c r="A12" s="13"/>
      <c r="B12" s="1">
        <v>3</v>
      </c>
      <c r="C12" s="1">
        <v>4.984</v>
      </c>
      <c r="D12" s="1">
        <f t="shared" si="0"/>
        <v>0.49840000000000001</v>
      </c>
      <c r="E12" s="1">
        <f t="shared" si="1"/>
        <v>0.2492</v>
      </c>
      <c r="F12" s="4">
        <f t="shared" si="2"/>
        <v>0.19509537062400001</v>
      </c>
    </row>
    <row r="13" spans="1:6" ht="15" thickBot="1" x14ac:dyDescent="0.35">
      <c r="A13" s="14"/>
      <c r="B13" s="5">
        <v>4</v>
      </c>
      <c r="C13" s="5">
        <v>4.8879999999999999</v>
      </c>
      <c r="D13" s="5">
        <f t="shared" si="0"/>
        <v>0.48880000000000001</v>
      </c>
      <c r="E13" s="5">
        <f t="shared" si="1"/>
        <v>0.24440000000000001</v>
      </c>
      <c r="F13" s="6">
        <f t="shared" si="2"/>
        <v>0.18765204057600002</v>
      </c>
    </row>
    <row r="14" spans="1:6" x14ac:dyDescent="0.3">
      <c r="A14" s="12" t="s">
        <v>11</v>
      </c>
      <c r="B14" s="2">
        <v>1</v>
      </c>
      <c r="C14" s="2">
        <v>4.5049999999999999</v>
      </c>
      <c r="D14" s="2">
        <f t="shared" si="0"/>
        <v>0.45050000000000001</v>
      </c>
      <c r="E14" s="2">
        <f t="shared" si="1"/>
        <v>0.22525000000000001</v>
      </c>
      <c r="F14" s="3">
        <f t="shared" si="2"/>
        <v>0.15939712635</v>
      </c>
    </row>
    <row r="15" spans="1:6" x14ac:dyDescent="0.3">
      <c r="A15" s="13"/>
      <c r="B15" s="1">
        <v>2</v>
      </c>
      <c r="C15" s="1">
        <v>4.601</v>
      </c>
      <c r="D15" s="1">
        <f t="shared" si="0"/>
        <v>0.46010000000000001</v>
      </c>
      <c r="E15" s="1">
        <f t="shared" si="1"/>
        <v>0.23005</v>
      </c>
      <c r="F15" s="4">
        <f t="shared" si="2"/>
        <v>0.16626290465400001</v>
      </c>
    </row>
    <row r="16" spans="1:6" x14ac:dyDescent="0.3">
      <c r="A16" s="13"/>
      <c r="B16" s="1">
        <v>3</v>
      </c>
      <c r="C16" s="1">
        <v>4.6020000000000003</v>
      </c>
      <c r="D16" s="1">
        <f t="shared" si="0"/>
        <v>0.46020000000000005</v>
      </c>
      <c r="E16" s="1">
        <f t="shared" si="1"/>
        <v>0.23010000000000003</v>
      </c>
      <c r="F16" s="4">
        <f t="shared" si="2"/>
        <v>0.16633518501600006</v>
      </c>
    </row>
    <row r="17" spans="1:6" ht="15" thickBot="1" x14ac:dyDescent="0.35">
      <c r="A17" s="14"/>
      <c r="B17" s="5">
        <v>4</v>
      </c>
      <c r="C17" s="5">
        <v>4.984</v>
      </c>
      <c r="D17" s="5">
        <f t="shared" si="0"/>
        <v>0.49840000000000001</v>
      </c>
      <c r="E17" s="5">
        <f t="shared" si="1"/>
        <v>0.2492</v>
      </c>
      <c r="F17" s="6">
        <f t="shared" si="2"/>
        <v>0.19509537062400001</v>
      </c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FEEE4-2C4B-41B0-8A6C-18E53E2A19A3}">
  <dimension ref="A1:F17"/>
  <sheetViews>
    <sheetView tabSelected="1" workbookViewId="0">
      <selection activeCell="H15" sqref="H15"/>
    </sheetView>
  </sheetViews>
  <sheetFormatPr defaultRowHeight="14.4" x14ac:dyDescent="0.3"/>
  <cols>
    <col min="2" max="2" width="13.21875" bestFit="1" customWidth="1"/>
    <col min="3" max="3" width="11.6640625" bestFit="1" customWidth="1"/>
    <col min="4" max="4" width="11.109375" bestFit="1" customWidth="1"/>
  </cols>
  <sheetData>
    <row r="1" spans="1:6" ht="15" thickBot="1" x14ac:dyDescent="0.35">
      <c r="A1" s="7" t="s">
        <v>5</v>
      </c>
      <c r="B1" s="8" t="s">
        <v>0</v>
      </c>
      <c r="C1" s="8" t="s">
        <v>1</v>
      </c>
      <c r="D1" s="8" t="s">
        <v>2</v>
      </c>
      <c r="E1" s="8" t="s">
        <v>3</v>
      </c>
      <c r="F1" s="9" t="s">
        <v>4</v>
      </c>
    </row>
    <row r="2" spans="1:6" x14ac:dyDescent="0.3">
      <c r="A2" s="12" t="s">
        <v>6</v>
      </c>
      <c r="B2" s="2">
        <v>1</v>
      </c>
      <c r="C2" s="2">
        <v>4.1210000000000004</v>
      </c>
      <c r="D2" s="2">
        <f t="shared" ref="D2:D17" si="0">C2/10</f>
        <v>0.41210000000000002</v>
      </c>
      <c r="E2" s="2">
        <f t="shared" ref="E2:E17" si="1">D2/2</f>
        <v>0.20605000000000001</v>
      </c>
      <c r="F2" s="3">
        <f>(E2)^2*3.1416</f>
        <v>0.13338166241400001</v>
      </c>
    </row>
    <row r="3" spans="1:6" x14ac:dyDescent="0.3">
      <c r="A3" s="13"/>
      <c r="B3" s="1">
        <v>2</v>
      </c>
      <c r="C3" s="1">
        <v>3.1640000000000001</v>
      </c>
      <c r="D3" s="1">
        <f t="shared" si="0"/>
        <v>0.31640000000000001</v>
      </c>
      <c r="E3" s="1">
        <f t="shared" si="1"/>
        <v>0.15820000000000001</v>
      </c>
      <c r="F3" s="4">
        <f t="shared" ref="F2:F17" si="2">(E3)^2*3.1416</f>
        <v>7.8625577184000012E-2</v>
      </c>
    </row>
    <row r="4" spans="1:6" x14ac:dyDescent="0.3">
      <c r="A4" s="13"/>
      <c r="B4" s="1">
        <v>3</v>
      </c>
      <c r="C4" s="1">
        <v>4.984</v>
      </c>
      <c r="D4" s="1">
        <f t="shared" si="0"/>
        <v>0.49840000000000001</v>
      </c>
      <c r="E4" s="1">
        <f t="shared" si="1"/>
        <v>0.2492</v>
      </c>
      <c r="F4" s="4">
        <f t="shared" si="2"/>
        <v>0.19509537062400001</v>
      </c>
    </row>
    <row r="5" spans="1:6" ht="15" thickBot="1" x14ac:dyDescent="0.35">
      <c r="A5" s="14"/>
      <c r="B5" s="5">
        <v>4</v>
      </c>
      <c r="C5" s="5">
        <v>2.109</v>
      </c>
      <c r="D5" s="5">
        <f t="shared" si="0"/>
        <v>0.2109</v>
      </c>
      <c r="E5" s="5">
        <f t="shared" si="1"/>
        <v>0.10545</v>
      </c>
      <c r="F5" s="6">
        <f t="shared" si="2"/>
        <v>3.4933657373999998E-2</v>
      </c>
    </row>
    <row r="6" spans="1:6" x14ac:dyDescent="0.3">
      <c r="A6" s="12" t="s">
        <v>7</v>
      </c>
      <c r="B6" s="2">
        <v>1</v>
      </c>
      <c r="C6" s="2">
        <v>5.6230000000000002</v>
      </c>
      <c r="D6" s="2">
        <f t="shared" si="0"/>
        <v>0.56230000000000002</v>
      </c>
      <c r="E6" s="2">
        <f t="shared" si="1"/>
        <v>0.28115000000000001</v>
      </c>
      <c r="F6" s="3">
        <f t="shared" si="2"/>
        <v>0.24832878516599999</v>
      </c>
    </row>
    <row r="7" spans="1:6" x14ac:dyDescent="0.3">
      <c r="A7" s="13"/>
      <c r="B7" s="1">
        <v>2</v>
      </c>
      <c r="C7" s="1">
        <v>4.4729999999999999</v>
      </c>
      <c r="D7" s="1">
        <f t="shared" si="0"/>
        <v>0.44729999999999998</v>
      </c>
      <c r="E7" s="1">
        <f t="shared" si="1"/>
        <v>0.22364999999999999</v>
      </c>
      <c r="F7" s="4">
        <f t="shared" si="2"/>
        <v>0.15714070356599999</v>
      </c>
    </row>
    <row r="8" spans="1:6" x14ac:dyDescent="0.3">
      <c r="A8" s="13"/>
      <c r="B8" s="1">
        <v>3</v>
      </c>
      <c r="C8" s="1">
        <v>4.1529999999999996</v>
      </c>
      <c r="D8" s="1">
        <f t="shared" si="0"/>
        <v>0.41529999999999995</v>
      </c>
      <c r="E8" s="1">
        <f t="shared" si="1"/>
        <v>0.20764999999999997</v>
      </c>
      <c r="F8" s="4">
        <f t="shared" si="2"/>
        <v>0.13546115028599998</v>
      </c>
    </row>
    <row r="9" spans="1:6" ht="15" thickBot="1" x14ac:dyDescent="0.35">
      <c r="A9" s="14"/>
      <c r="B9" s="5">
        <v>4</v>
      </c>
      <c r="C9" s="5">
        <v>4.7919999999999998</v>
      </c>
      <c r="D9" s="5">
        <f t="shared" si="0"/>
        <v>0.47919999999999996</v>
      </c>
      <c r="E9" s="5">
        <f t="shared" si="1"/>
        <v>0.23959999999999998</v>
      </c>
      <c r="F9" s="6">
        <f t="shared" si="2"/>
        <v>0.18035347545599997</v>
      </c>
    </row>
    <row r="10" spans="1:6" x14ac:dyDescent="0.3">
      <c r="A10" s="12" t="s">
        <v>10</v>
      </c>
      <c r="B10" s="2">
        <v>1</v>
      </c>
      <c r="C10" s="2">
        <v>4.4729999999999999</v>
      </c>
      <c r="D10" s="2">
        <f t="shared" si="0"/>
        <v>0.44729999999999998</v>
      </c>
      <c r="E10" s="2">
        <f t="shared" si="1"/>
        <v>0.22364999999999999</v>
      </c>
      <c r="F10" s="3">
        <f t="shared" si="2"/>
        <v>0.15714070356599999</v>
      </c>
    </row>
    <row r="11" spans="1:6" x14ac:dyDescent="0.3">
      <c r="A11" s="13"/>
      <c r="B11" s="1">
        <v>2</v>
      </c>
      <c r="C11" s="1">
        <v>4.5369999999999999</v>
      </c>
      <c r="D11" s="1">
        <f t="shared" si="0"/>
        <v>0.45369999999999999</v>
      </c>
      <c r="E11" s="1">
        <f t="shared" si="1"/>
        <v>0.22685</v>
      </c>
      <c r="F11" s="4">
        <f t="shared" si="2"/>
        <v>0.16166963412599999</v>
      </c>
    </row>
    <row r="12" spans="1:6" x14ac:dyDescent="0.3">
      <c r="A12" s="13"/>
      <c r="B12" s="1">
        <v>3</v>
      </c>
      <c r="C12" s="1">
        <v>4.3449999999999998</v>
      </c>
      <c r="D12" s="1">
        <f t="shared" si="0"/>
        <v>0.4345</v>
      </c>
      <c r="E12" s="1">
        <f t="shared" si="1"/>
        <v>0.21725</v>
      </c>
      <c r="F12" s="4">
        <f t="shared" si="2"/>
        <v>0.14827586234999998</v>
      </c>
    </row>
    <row r="13" spans="1:6" ht="15" thickBot="1" x14ac:dyDescent="0.35">
      <c r="A13" s="14"/>
      <c r="B13" s="5">
        <v>4</v>
      </c>
      <c r="C13" s="5">
        <v>4.1539999999999999</v>
      </c>
      <c r="D13" s="5">
        <f t="shared" si="0"/>
        <v>0.41539999999999999</v>
      </c>
      <c r="E13" s="5">
        <f t="shared" si="1"/>
        <v>0.2077</v>
      </c>
      <c r="F13" s="6">
        <f t="shared" si="2"/>
        <v>0.135526393464</v>
      </c>
    </row>
    <row r="14" spans="1:6" x14ac:dyDescent="0.3">
      <c r="A14" s="12" t="s">
        <v>11</v>
      </c>
      <c r="B14" s="2">
        <v>1</v>
      </c>
      <c r="C14" s="2">
        <v>4.0259999999999998</v>
      </c>
      <c r="D14" s="2">
        <f t="shared" si="0"/>
        <v>0.40259999999999996</v>
      </c>
      <c r="E14" s="2">
        <f t="shared" si="1"/>
        <v>0.20129999999999998</v>
      </c>
      <c r="F14" s="3">
        <f t="shared" si="2"/>
        <v>0.12730294130399997</v>
      </c>
    </row>
    <row r="15" spans="1:6" x14ac:dyDescent="0.3">
      <c r="A15" s="13"/>
      <c r="B15" s="1">
        <v>2</v>
      </c>
      <c r="C15" s="1">
        <v>4.8559999999999999</v>
      </c>
      <c r="D15" s="1">
        <f t="shared" si="0"/>
        <v>0.48559999999999998</v>
      </c>
      <c r="E15" s="1">
        <f t="shared" si="1"/>
        <v>0.24279999999999999</v>
      </c>
      <c r="F15" s="4">
        <f t="shared" si="2"/>
        <v>0.18520310054399997</v>
      </c>
    </row>
    <row r="16" spans="1:6" x14ac:dyDescent="0.3">
      <c r="A16" s="13"/>
      <c r="B16" s="1">
        <v>3</v>
      </c>
      <c r="C16" s="1">
        <v>3.4510000000000001</v>
      </c>
      <c r="D16" s="1">
        <f t="shared" si="0"/>
        <v>0.34510000000000002</v>
      </c>
      <c r="E16" s="1">
        <f t="shared" si="1"/>
        <v>0.17255000000000001</v>
      </c>
      <c r="F16" s="4">
        <f t="shared" si="2"/>
        <v>9.3536435454000005E-2</v>
      </c>
    </row>
    <row r="17" spans="1:6" ht="15" thickBot="1" x14ac:dyDescent="0.35">
      <c r="A17" s="14"/>
      <c r="B17" s="5">
        <v>4</v>
      </c>
      <c r="C17" s="5">
        <v>4.4729999999999999</v>
      </c>
      <c r="D17" s="5">
        <f t="shared" si="0"/>
        <v>0.44729999999999998</v>
      </c>
      <c r="E17" s="5">
        <f t="shared" si="1"/>
        <v>0.22364999999999999</v>
      </c>
      <c r="F17" s="6">
        <f t="shared" si="2"/>
        <v>0.15714070356599999</v>
      </c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Cel_MI_1M_washed</vt:lpstr>
      <vt:lpstr>Cel_MI_1M_Nonwashed</vt:lpstr>
      <vt:lpstr>Cel_MIF_1M_washed</vt:lpstr>
      <vt:lpstr>Cel_MIF_1M_Nonwashed</vt:lpstr>
      <vt:lpstr>SN_MIF_1M_washed</vt:lpstr>
      <vt:lpstr>SN_MIF_1M_Nonwashed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Amairani Chávez Vega</dc:creator>
  <cp:lastModifiedBy>Amairani Chávez Vega</cp:lastModifiedBy>
  <dcterms:created xsi:type="dcterms:W3CDTF">2026-02-22T00:18:47Z</dcterms:created>
  <dcterms:modified xsi:type="dcterms:W3CDTF">2026-03-11T22:28:08Z</dcterms:modified>
</cp:coreProperties>
</file>